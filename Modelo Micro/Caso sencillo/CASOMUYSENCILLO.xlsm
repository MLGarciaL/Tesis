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avier\Mi unidad (garciallujan@gmail.com)\Licenciatura en Economía\Tesis\Proyecto Desarrollo\Emprendedurismo\Modelo Micro\Caso sencillo\"/>
    </mc:Choice>
  </mc:AlternateContent>
  <xr:revisionPtr revIDLastSave="0" documentId="13_ncr:1_{50AF8AD1-9EF6-4FE2-9C3E-83E9C60F2E24}" xr6:coauthVersionLast="47" xr6:coauthVersionMax="47" xr10:uidLastSave="{00000000-0000-0000-0000-000000000000}"/>
  <bookViews>
    <workbookView xWindow="-110" yWindow="-110" windowWidth="19420" windowHeight="10300" xr2:uid="{97F5DE93-BEF6-4C41-B7E4-09FD4EBCBD0C}"/>
  </bookViews>
  <sheets>
    <sheet name="Tecnología" sheetId="1" r:id="rId1"/>
    <sheet name="Shock Tecnológico" sheetId="3" r:id="rId2"/>
    <sheet name="Infectadas" sheetId="2" r:id="rId3"/>
    <sheet name="Imitación" sheetId="4" r:id="rId4"/>
    <sheet name="Viva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3" i="1" l="1" a="1"/>
  <c r="B43" i="1" s="1"/>
  <c r="B46" i="1"/>
  <c r="B47" i="1"/>
  <c r="B36" i="5"/>
  <c r="A47" i="1"/>
  <c r="A46" i="1"/>
  <c r="B35" i="5"/>
  <c r="B2" i="5"/>
  <c r="C9" i="1"/>
  <c r="C2" i="2" s="1"/>
  <c r="E9" i="1"/>
  <c r="E2" i="2" s="1"/>
  <c r="E7" i="2" s="1"/>
  <c r="F9" i="1"/>
  <c r="F2" i="2" s="1"/>
  <c r="F6" i="2" s="1"/>
  <c r="G9" i="1"/>
  <c r="G2" i="2" s="1"/>
  <c r="H9" i="1"/>
  <c r="H2" i="3" s="1"/>
  <c r="H13" i="3" s="1"/>
  <c r="I9" i="1"/>
  <c r="I2" i="4" s="1"/>
  <c r="J9" i="1"/>
  <c r="J2" i="2" s="1"/>
  <c r="J4" i="2" s="1"/>
  <c r="K9" i="1"/>
  <c r="K2" i="2" s="1"/>
  <c r="L9" i="1"/>
  <c r="L2" i="3" s="1"/>
  <c r="M9" i="1"/>
  <c r="M2" i="3" s="1"/>
  <c r="M6" i="3" s="1"/>
  <c r="N9" i="1"/>
  <c r="N2" i="2" s="1"/>
  <c r="N6" i="2" s="1"/>
  <c r="O9" i="1"/>
  <c r="O2" i="4" s="1"/>
  <c r="P9" i="1"/>
  <c r="P2" i="4" s="1"/>
  <c r="Q9" i="1"/>
  <c r="Q2" i="4" s="1"/>
  <c r="R9" i="1"/>
  <c r="R2" i="4" s="1"/>
  <c r="R24" i="4" s="1"/>
  <c r="S9" i="1"/>
  <c r="S2" i="4" s="1"/>
  <c r="T9" i="1"/>
  <c r="T2" i="3" s="1"/>
  <c r="T22" i="3" s="1"/>
  <c r="U9" i="1"/>
  <c r="U2" i="4" s="1"/>
  <c r="V9" i="1"/>
  <c r="V2" i="3" s="1"/>
  <c r="V23" i="3" s="1"/>
  <c r="D9" i="1"/>
  <c r="D2" i="2" s="1"/>
  <c r="D4" i="2" s="1"/>
  <c r="B2" i="3"/>
  <c r="B2" i="4"/>
  <c r="B2" i="2"/>
  <c r="K4" i="1"/>
  <c r="D4" i="1"/>
  <c r="B42" i="1"/>
  <c r="J2" i="5" l="1"/>
  <c r="I2" i="5"/>
  <c r="Q2" i="5"/>
  <c r="R2" i="5"/>
  <c r="G2" i="5"/>
  <c r="O2" i="5"/>
  <c r="H2" i="5"/>
  <c r="P2" i="5"/>
  <c r="C2" i="5"/>
  <c r="K2" i="5"/>
  <c r="S2" i="5"/>
  <c r="D2" i="5"/>
  <c r="L2" i="5"/>
  <c r="T2" i="5"/>
  <c r="E2" i="5"/>
  <c r="M2" i="5"/>
  <c r="U2" i="5"/>
  <c r="F2" i="5"/>
  <c r="N2" i="5"/>
  <c r="V2" i="5"/>
  <c r="O2" i="2"/>
  <c r="G2" i="3"/>
  <c r="G7" i="3" s="1"/>
  <c r="G2" i="4"/>
  <c r="G25" i="4" s="1"/>
  <c r="S21" i="4"/>
  <c r="I14" i="4"/>
  <c r="P25" i="4"/>
  <c r="O29" i="4"/>
  <c r="U15" i="4"/>
  <c r="O2" i="3"/>
  <c r="O17" i="3" s="1"/>
  <c r="H2" i="4"/>
  <c r="H32" i="4" s="1"/>
  <c r="P2" i="2"/>
  <c r="P5" i="2" s="1"/>
  <c r="D2" i="3"/>
  <c r="D10" i="3" s="1"/>
  <c r="D2" i="4"/>
  <c r="D20" i="4" s="1"/>
  <c r="S17" i="4"/>
  <c r="U12" i="4"/>
  <c r="S6" i="4"/>
  <c r="P32" i="4"/>
  <c r="S31" i="4"/>
  <c r="Q8" i="4"/>
  <c r="I29" i="4"/>
  <c r="I21" i="4"/>
  <c r="I11" i="4"/>
  <c r="Q23" i="4"/>
  <c r="Q31" i="4"/>
  <c r="U25" i="4"/>
  <c r="P10" i="4"/>
  <c r="I31" i="4"/>
  <c r="S25" i="4"/>
  <c r="U18" i="4"/>
  <c r="S7" i="4"/>
  <c r="H2" i="2"/>
  <c r="H5" i="2" s="1"/>
  <c r="U33" i="4"/>
  <c r="Q29" i="4"/>
  <c r="P24" i="4"/>
  <c r="I16" i="4"/>
  <c r="V27" i="3"/>
  <c r="S33" i="4"/>
  <c r="S15" i="4"/>
  <c r="V7" i="3"/>
  <c r="O6" i="4"/>
  <c r="O15" i="4"/>
  <c r="O23" i="4"/>
  <c r="O10" i="4"/>
  <c r="O18" i="4"/>
  <c r="O26" i="4"/>
  <c r="O8" i="4"/>
  <c r="O16" i="4"/>
  <c r="O11" i="4"/>
  <c r="O5" i="4"/>
  <c r="C12" i="2"/>
  <c r="C20" i="2"/>
  <c r="C28" i="2"/>
  <c r="R28" i="4"/>
  <c r="O27" i="4"/>
  <c r="Q19" i="4"/>
  <c r="S9" i="4"/>
  <c r="I5" i="4"/>
  <c r="M28" i="3"/>
  <c r="H17" i="3"/>
  <c r="R5" i="4"/>
  <c r="R14" i="4"/>
  <c r="R22" i="4"/>
  <c r="R9" i="4"/>
  <c r="R17" i="4"/>
  <c r="R25" i="4"/>
  <c r="R15" i="4"/>
  <c r="R10" i="4"/>
  <c r="R6" i="4"/>
  <c r="T4" i="3"/>
  <c r="T5" i="3"/>
  <c r="T7" i="3"/>
  <c r="T9" i="3"/>
  <c r="T11" i="3"/>
  <c r="T13" i="3"/>
  <c r="T15" i="3"/>
  <c r="T17" i="3"/>
  <c r="T19" i="3"/>
  <c r="T21" i="3"/>
  <c r="T23" i="3"/>
  <c r="T25" i="3"/>
  <c r="T27" i="3"/>
  <c r="T29" i="3"/>
  <c r="T31" i="3"/>
  <c r="T33" i="3"/>
  <c r="T20" i="3"/>
  <c r="T18" i="3"/>
  <c r="T14" i="3"/>
  <c r="T30" i="3"/>
  <c r="T12" i="3"/>
  <c r="T28" i="3"/>
  <c r="T8" i="3"/>
  <c r="T24" i="3"/>
  <c r="L4" i="3"/>
  <c r="L6" i="3"/>
  <c r="L5" i="3"/>
  <c r="L7" i="3"/>
  <c r="L9" i="3"/>
  <c r="L11" i="3"/>
  <c r="L13" i="3"/>
  <c r="L15" i="3"/>
  <c r="L17" i="3"/>
  <c r="L19" i="3"/>
  <c r="L21" i="3"/>
  <c r="L23" i="3"/>
  <c r="L25" i="3"/>
  <c r="L27" i="3"/>
  <c r="L29" i="3"/>
  <c r="L31" i="3"/>
  <c r="L33" i="3"/>
  <c r="L14" i="3"/>
  <c r="L30" i="3"/>
  <c r="L12" i="3"/>
  <c r="L28" i="3"/>
  <c r="L8" i="3"/>
  <c r="L24" i="3"/>
  <c r="L22" i="3"/>
  <c r="L18" i="3"/>
  <c r="R13" i="4"/>
  <c r="V2" i="4"/>
  <c r="S5" i="4"/>
  <c r="S11" i="4"/>
  <c r="S19" i="4"/>
  <c r="S27" i="4"/>
  <c r="S14" i="4"/>
  <c r="S22" i="4"/>
  <c r="S4" i="4"/>
  <c r="S12" i="4"/>
  <c r="O32" i="4"/>
  <c r="R31" i="4"/>
  <c r="U30" i="4"/>
  <c r="P29" i="4"/>
  <c r="O28" i="4"/>
  <c r="U26" i="4"/>
  <c r="Q24" i="4"/>
  <c r="S20" i="4"/>
  <c r="P19" i="4"/>
  <c r="P17" i="4"/>
  <c r="Q15" i="4"/>
  <c r="Q13" i="4"/>
  <c r="P9" i="4"/>
  <c r="S8" i="4"/>
  <c r="Q6" i="4"/>
  <c r="V33" i="3"/>
  <c r="M22" i="3"/>
  <c r="T16" i="3"/>
  <c r="O17" i="4"/>
  <c r="T10" i="3"/>
  <c r="I9" i="4"/>
  <c r="I17" i="4"/>
  <c r="I25" i="4"/>
  <c r="I12" i="4"/>
  <c r="I20" i="4"/>
  <c r="I28" i="4"/>
  <c r="I10" i="4"/>
  <c r="I18" i="4"/>
  <c r="I4" i="4"/>
  <c r="I7" i="4"/>
  <c r="R33" i="4"/>
  <c r="U32" i="4"/>
  <c r="P31" i="4"/>
  <c r="S30" i="4"/>
  <c r="S26" i="4"/>
  <c r="I26" i="4"/>
  <c r="O24" i="4"/>
  <c r="U22" i="4"/>
  <c r="I22" i="4"/>
  <c r="R21" i="4"/>
  <c r="O20" i="4"/>
  <c r="S16" i="4"/>
  <c r="R7" i="4"/>
  <c r="I6" i="4"/>
  <c r="R4" i="4"/>
  <c r="H33" i="3"/>
  <c r="L10" i="3"/>
  <c r="R8" i="4"/>
  <c r="L16" i="3"/>
  <c r="Q5" i="4"/>
  <c r="Q9" i="4"/>
  <c r="Q17" i="4"/>
  <c r="Q25" i="4"/>
  <c r="Q4" i="4"/>
  <c r="Q12" i="4"/>
  <c r="Q20" i="4"/>
  <c r="Q28" i="4"/>
  <c r="Q10" i="4"/>
  <c r="Q18" i="4"/>
  <c r="Q7" i="4"/>
  <c r="P6" i="4"/>
  <c r="P4" i="4"/>
  <c r="P12" i="4"/>
  <c r="P20" i="4"/>
  <c r="P28" i="4"/>
  <c r="P15" i="4"/>
  <c r="P23" i="4"/>
  <c r="P7" i="4"/>
  <c r="P13" i="4"/>
  <c r="P8" i="4"/>
  <c r="H5" i="3"/>
  <c r="H4" i="3"/>
  <c r="H6" i="3"/>
  <c r="H8" i="3"/>
  <c r="H10" i="3"/>
  <c r="H12" i="3"/>
  <c r="H14" i="3"/>
  <c r="H16" i="3"/>
  <c r="H18" i="3"/>
  <c r="H20" i="3"/>
  <c r="H22" i="3"/>
  <c r="H24" i="3"/>
  <c r="H26" i="3"/>
  <c r="H28" i="3"/>
  <c r="H30" i="3"/>
  <c r="H32" i="3"/>
  <c r="H11" i="3"/>
  <c r="H27" i="3"/>
  <c r="H9" i="3"/>
  <c r="H25" i="3"/>
  <c r="H21" i="3"/>
  <c r="H19" i="3"/>
  <c r="H15" i="3"/>
  <c r="H31" i="3"/>
  <c r="Q33" i="4"/>
  <c r="I33" i="4"/>
  <c r="O31" i="4"/>
  <c r="R30" i="4"/>
  <c r="U29" i="4"/>
  <c r="U27" i="4"/>
  <c r="I27" i="4"/>
  <c r="R26" i="4"/>
  <c r="O25" i="4"/>
  <c r="U23" i="4"/>
  <c r="Q21" i="4"/>
  <c r="S18" i="4"/>
  <c r="R16" i="4"/>
  <c r="Q14" i="4"/>
  <c r="R12" i="4"/>
  <c r="U11" i="4"/>
  <c r="O7" i="4"/>
  <c r="O4" i="4"/>
  <c r="T32" i="3"/>
  <c r="M18" i="3"/>
  <c r="H7" i="3"/>
  <c r="O19" i="4"/>
  <c r="O9" i="4"/>
  <c r="P33" i="4"/>
  <c r="S32" i="4"/>
  <c r="Q30" i="4"/>
  <c r="I30" i="4"/>
  <c r="U28" i="4"/>
  <c r="R27" i="4"/>
  <c r="Q26" i="4"/>
  <c r="Q22" i="4"/>
  <c r="P21" i="4"/>
  <c r="R18" i="4"/>
  <c r="Q16" i="4"/>
  <c r="P14" i="4"/>
  <c r="O12" i="4"/>
  <c r="R11" i="4"/>
  <c r="U10" i="4"/>
  <c r="U5" i="4"/>
  <c r="L32" i="3"/>
  <c r="T26" i="3"/>
  <c r="M12" i="3"/>
  <c r="T6" i="3"/>
  <c r="R20" i="4"/>
  <c r="O13" i="4"/>
  <c r="G16" i="4"/>
  <c r="G11" i="4"/>
  <c r="V6" i="3"/>
  <c r="V8" i="3"/>
  <c r="V10" i="3"/>
  <c r="V12" i="3"/>
  <c r="V14" i="3"/>
  <c r="V16" i="3"/>
  <c r="V18" i="3"/>
  <c r="V20" i="3"/>
  <c r="V22" i="3"/>
  <c r="V24" i="3"/>
  <c r="V26" i="3"/>
  <c r="V28" i="3"/>
  <c r="V30" i="3"/>
  <c r="V32" i="3"/>
  <c r="V21" i="3"/>
  <c r="V19" i="3"/>
  <c r="V15" i="3"/>
  <c r="V31" i="3"/>
  <c r="V13" i="3"/>
  <c r="V29" i="3"/>
  <c r="V9" i="3"/>
  <c r="V25" i="3"/>
  <c r="O33" i="4"/>
  <c r="G33" i="4"/>
  <c r="R32" i="4"/>
  <c r="U31" i="4"/>
  <c r="P30" i="4"/>
  <c r="S29" i="4"/>
  <c r="Q27" i="4"/>
  <c r="P26" i="4"/>
  <c r="S23" i="4"/>
  <c r="I23" i="4"/>
  <c r="P22" i="4"/>
  <c r="O21" i="4"/>
  <c r="U19" i="4"/>
  <c r="I19" i="4"/>
  <c r="P18" i="4"/>
  <c r="P16" i="4"/>
  <c r="I15" i="4"/>
  <c r="O14" i="4"/>
  <c r="I13" i="4"/>
  <c r="Q11" i="4"/>
  <c r="P5" i="4"/>
  <c r="V4" i="3"/>
  <c r="H29" i="3"/>
  <c r="L26" i="3"/>
  <c r="V17" i="3"/>
  <c r="C5" i="2"/>
  <c r="R2" i="2"/>
  <c r="R4" i="2" s="1"/>
  <c r="U4" i="4"/>
  <c r="U7" i="4"/>
  <c r="U13" i="4"/>
  <c r="U21" i="4"/>
  <c r="U6" i="4"/>
  <c r="U8" i="4"/>
  <c r="U16" i="4"/>
  <c r="U24" i="4"/>
  <c r="U14" i="4"/>
  <c r="U9" i="4"/>
  <c r="M5" i="3"/>
  <c r="M7" i="3"/>
  <c r="M9" i="3"/>
  <c r="M11" i="3"/>
  <c r="M13" i="3"/>
  <c r="M15" i="3"/>
  <c r="M17" i="3"/>
  <c r="M19" i="3"/>
  <c r="M21" i="3"/>
  <c r="M23" i="3"/>
  <c r="M25" i="3"/>
  <c r="M27" i="3"/>
  <c r="M29" i="3"/>
  <c r="M31" i="3"/>
  <c r="M33" i="3"/>
  <c r="M16" i="3"/>
  <c r="M32" i="3"/>
  <c r="M14" i="3"/>
  <c r="M30" i="3"/>
  <c r="M10" i="3"/>
  <c r="M26" i="3"/>
  <c r="M8" i="3"/>
  <c r="M24" i="3"/>
  <c r="M20" i="3"/>
  <c r="M4" i="3"/>
  <c r="Q32" i="4"/>
  <c r="I32" i="4"/>
  <c r="O30" i="4"/>
  <c r="R29" i="4"/>
  <c r="S28" i="4"/>
  <c r="P27" i="4"/>
  <c r="S24" i="4"/>
  <c r="I24" i="4"/>
  <c r="R23" i="4"/>
  <c r="O22" i="4"/>
  <c r="U20" i="4"/>
  <c r="R19" i="4"/>
  <c r="U17" i="4"/>
  <c r="S13" i="4"/>
  <c r="P11" i="4"/>
  <c r="S10" i="4"/>
  <c r="I8" i="4"/>
  <c r="H23" i="3"/>
  <c r="L20" i="3"/>
  <c r="V11" i="3"/>
  <c r="V5" i="3"/>
  <c r="G6" i="2"/>
  <c r="C27" i="2"/>
  <c r="C19" i="2"/>
  <c r="C11" i="2"/>
  <c r="C4" i="2"/>
  <c r="C26" i="2"/>
  <c r="C18" i="2"/>
  <c r="C10" i="2"/>
  <c r="C33" i="2"/>
  <c r="C25" i="2"/>
  <c r="C17" i="2"/>
  <c r="C9" i="2"/>
  <c r="C32" i="2"/>
  <c r="C24" i="2"/>
  <c r="C16" i="2"/>
  <c r="C8" i="2"/>
  <c r="C31" i="2"/>
  <c r="C23" i="2"/>
  <c r="C15" i="2"/>
  <c r="C7" i="2"/>
  <c r="C30" i="2"/>
  <c r="C22" i="2"/>
  <c r="C14" i="2"/>
  <c r="C6" i="2"/>
  <c r="C29" i="2"/>
  <c r="C21" i="2"/>
  <c r="C13" i="2"/>
  <c r="O6" i="2"/>
  <c r="G11" i="2"/>
  <c r="Q2" i="3"/>
  <c r="I2" i="2"/>
  <c r="I5" i="2" s="1"/>
  <c r="P2" i="3"/>
  <c r="C2" i="3"/>
  <c r="C2" i="4"/>
  <c r="N2" i="3"/>
  <c r="E2" i="3"/>
  <c r="F2" i="4"/>
  <c r="M2" i="2"/>
  <c r="M7" i="2" s="1"/>
  <c r="M2" i="4"/>
  <c r="V2" i="2"/>
  <c r="V6" i="2" s="1"/>
  <c r="F2" i="3"/>
  <c r="U2" i="3"/>
  <c r="N2" i="4"/>
  <c r="U2" i="2"/>
  <c r="U7" i="2" s="1"/>
  <c r="O21" i="2"/>
  <c r="Q2" i="2"/>
  <c r="Q6" i="2" s="1"/>
  <c r="I2" i="3"/>
  <c r="E2" i="4"/>
  <c r="S2" i="2"/>
  <c r="S4" i="2" s="1"/>
  <c r="G33" i="2"/>
  <c r="R2" i="3"/>
  <c r="G21" i="2"/>
  <c r="E10" i="2"/>
  <c r="J2" i="4"/>
  <c r="O29" i="2"/>
  <c r="J2" i="3"/>
  <c r="K2" i="4"/>
  <c r="E18" i="2"/>
  <c r="K2" i="3"/>
  <c r="O17" i="2"/>
  <c r="E26" i="2"/>
  <c r="G25" i="2"/>
  <c r="E14" i="2"/>
  <c r="K4" i="2"/>
  <c r="K27" i="2"/>
  <c r="K31" i="2"/>
  <c r="K7" i="2"/>
  <c r="K11" i="2"/>
  <c r="K15" i="2"/>
  <c r="K19" i="2"/>
  <c r="K23" i="2"/>
  <c r="G9" i="2"/>
  <c r="O5" i="2"/>
  <c r="S2" i="3"/>
  <c r="O33" i="2"/>
  <c r="E30" i="2"/>
  <c r="G5" i="2"/>
  <c r="G29" i="2"/>
  <c r="O25" i="2"/>
  <c r="E22" i="2"/>
  <c r="G17" i="2"/>
  <c r="O13" i="2"/>
  <c r="G13" i="2"/>
  <c r="O9" i="2"/>
  <c r="E6" i="2"/>
  <c r="N33" i="2"/>
  <c r="F33" i="2"/>
  <c r="J31" i="2"/>
  <c r="N29" i="2"/>
  <c r="F29" i="2"/>
  <c r="J27" i="2"/>
  <c r="N25" i="2"/>
  <c r="F25" i="2"/>
  <c r="J23" i="2"/>
  <c r="N21" i="2"/>
  <c r="F21" i="2"/>
  <c r="J19" i="2"/>
  <c r="N17" i="2"/>
  <c r="F17" i="2"/>
  <c r="J15" i="2"/>
  <c r="N13" i="2"/>
  <c r="F13" i="2"/>
  <c r="J11" i="2"/>
  <c r="N9" i="2"/>
  <c r="F9" i="2"/>
  <c r="J7" i="2"/>
  <c r="N5" i="2"/>
  <c r="F5" i="2"/>
  <c r="E33" i="2"/>
  <c r="O32" i="2"/>
  <c r="G32" i="2"/>
  <c r="K30" i="2"/>
  <c r="E29" i="2"/>
  <c r="O28" i="2"/>
  <c r="G28" i="2"/>
  <c r="K26" i="2"/>
  <c r="E25" i="2"/>
  <c r="O24" i="2"/>
  <c r="G24" i="2"/>
  <c r="K22" i="2"/>
  <c r="E21" i="2"/>
  <c r="O20" i="2"/>
  <c r="G20" i="2"/>
  <c r="K18" i="2"/>
  <c r="E17" i="2"/>
  <c r="O16" i="2"/>
  <c r="G16" i="2"/>
  <c r="K14" i="2"/>
  <c r="E13" i="2"/>
  <c r="O12" i="2"/>
  <c r="G12" i="2"/>
  <c r="K10" i="2"/>
  <c r="E9" i="2"/>
  <c r="O8" i="2"/>
  <c r="G8" i="2"/>
  <c r="K6" i="2"/>
  <c r="E5" i="2"/>
  <c r="O4" i="2"/>
  <c r="G4" i="2"/>
  <c r="L2" i="4"/>
  <c r="T2" i="4"/>
  <c r="N32" i="2"/>
  <c r="F32" i="2"/>
  <c r="J30" i="2"/>
  <c r="N28" i="2"/>
  <c r="F28" i="2"/>
  <c r="J26" i="2"/>
  <c r="N24" i="2"/>
  <c r="F24" i="2"/>
  <c r="J22" i="2"/>
  <c r="N20" i="2"/>
  <c r="F20" i="2"/>
  <c r="J18" i="2"/>
  <c r="N16" i="2"/>
  <c r="F16" i="2"/>
  <c r="J14" i="2"/>
  <c r="N12" i="2"/>
  <c r="F12" i="2"/>
  <c r="J10" i="2"/>
  <c r="N8" i="2"/>
  <c r="F8" i="2"/>
  <c r="J6" i="2"/>
  <c r="N4" i="2"/>
  <c r="F4" i="2"/>
  <c r="K33" i="2"/>
  <c r="E32" i="2"/>
  <c r="O31" i="2"/>
  <c r="G31" i="2"/>
  <c r="K29" i="2"/>
  <c r="E28" i="2"/>
  <c r="O27" i="2"/>
  <c r="G27" i="2"/>
  <c r="K25" i="2"/>
  <c r="E24" i="2"/>
  <c r="O23" i="2"/>
  <c r="G23" i="2"/>
  <c r="K21" i="2"/>
  <c r="E20" i="2"/>
  <c r="O19" i="2"/>
  <c r="G19" i="2"/>
  <c r="K17" i="2"/>
  <c r="E16" i="2"/>
  <c r="O15" i="2"/>
  <c r="G15" i="2"/>
  <c r="K13" i="2"/>
  <c r="E12" i="2"/>
  <c r="O11" i="2"/>
  <c r="K9" i="2"/>
  <c r="E8" i="2"/>
  <c r="O7" i="2"/>
  <c r="G7" i="2"/>
  <c r="K5" i="2"/>
  <c r="E4" i="2"/>
  <c r="J33" i="2"/>
  <c r="N31" i="2"/>
  <c r="F31" i="2"/>
  <c r="J29" i="2"/>
  <c r="N27" i="2"/>
  <c r="F27" i="2"/>
  <c r="J25" i="2"/>
  <c r="N23" i="2"/>
  <c r="F23" i="2"/>
  <c r="J21" i="2"/>
  <c r="N19" i="2"/>
  <c r="F19" i="2"/>
  <c r="J17" i="2"/>
  <c r="N15" i="2"/>
  <c r="F15" i="2"/>
  <c r="J13" i="2"/>
  <c r="N11" i="2"/>
  <c r="F11" i="2"/>
  <c r="J9" i="2"/>
  <c r="N7" i="2"/>
  <c r="F7" i="2"/>
  <c r="J5" i="2"/>
  <c r="T2" i="2"/>
  <c r="L2" i="2"/>
  <c r="K32" i="2"/>
  <c r="E31" i="2"/>
  <c r="O30" i="2"/>
  <c r="G30" i="2"/>
  <c r="K28" i="2"/>
  <c r="E27" i="2"/>
  <c r="O26" i="2"/>
  <c r="G26" i="2"/>
  <c r="K24" i="2"/>
  <c r="E23" i="2"/>
  <c r="O22" i="2"/>
  <c r="G22" i="2"/>
  <c r="K20" i="2"/>
  <c r="E19" i="2"/>
  <c r="O18" i="2"/>
  <c r="G18" i="2"/>
  <c r="K16" i="2"/>
  <c r="E15" i="2"/>
  <c r="O14" i="2"/>
  <c r="G14" i="2"/>
  <c r="K12" i="2"/>
  <c r="E11" i="2"/>
  <c r="O10" i="2"/>
  <c r="G10" i="2"/>
  <c r="K8" i="2"/>
  <c r="J32" i="2"/>
  <c r="N30" i="2"/>
  <c r="F30" i="2"/>
  <c r="J28" i="2"/>
  <c r="N26" i="2"/>
  <c r="F26" i="2"/>
  <c r="J24" i="2"/>
  <c r="N22" i="2"/>
  <c r="F22" i="2"/>
  <c r="P21" i="2"/>
  <c r="J20" i="2"/>
  <c r="N18" i="2"/>
  <c r="F18" i="2"/>
  <c r="J16" i="2"/>
  <c r="N14" i="2"/>
  <c r="F14" i="2"/>
  <c r="J12" i="2"/>
  <c r="N10" i="2"/>
  <c r="F10" i="2"/>
  <c r="J8" i="2"/>
  <c r="D8" i="2"/>
  <c r="D31" i="2"/>
  <c r="D7" i="2"/>
  <c r="D15" i="2"/>
  <c r="D23" i="2"/>
  <c r="D29" i="2"/>
  <c r="D21" i="2"/>
  <c r="D13" i="2"/>
  <c r="D5" i="2"/>
  <c r="D28" i="2"/>
  <c r="D20" i="2"/>
  <c r="D12" i="2"/>
  <c r="D30" i="2"/>
  <c r="D27" i="2"/>
  <c r="D19" i="2"/>
  <c r="D11" i="2"/>
  <c r="D14" i="2"/>
  <c r="D26" i="2"/>
  <c r="D18" i="2"/>
  <c r="D10" i="2"/>
  <c r="D6" i="2"/>
  <c r="D33" i="2"/>
  <c r="D25" i="2"/>
  <c r="D17" i="2"/>
  <c r="D9" i="2"/>
  <c r="D22" i="2"/>
  <c r="D32" i="2"/>
  <c r="D24" i="2"/>
  <c r="D16" i="2"/>
  <c r="P2" i="1"/>
  <c r="G13" i="4" l="1"/>
  <c r="P17" i="2"/>
  <c r="G5" i="3"/>
  <c r="O32" i="3"/>
  <c r="O16" i="3"/>
  <c r="O4" i="3"/>
  <c r="G6" i="3"/>
  <c r="G26" i="3"/>
  <c r="G18" i="3"/>
  <c r="G17" i="3"/>
  <c r="G17" i="4"/>
  <c r="G27" i="4"/>
  <c r="G8" i="4"/>
  <c r="G31" i="4"/>
  <c r="G28" i="4"/>
  <c r="G26" i="4"/>
  <c r="G9" i="4"/>
  <c r="G18" i="4"/>
  <c r="G23" i="4"/>
  <c r="G14" i="4"/>
  <c r="G30" i="4"/>
  <c r="G5" i="4"/>
  <c r="G6" i="4"/>
  <c r="G10" i="3"/>
  <c r="G33" i="3"/>
  <c r="G25" i="3"/>
  <c r="G21" i="3"/>
  <c r="G22" i="3"/>
  <c r="G9" i="3"/>
  <c r="D28" i="3"/>
  <c r="G20" i="3"/>
  <c r="G4" i="3"/>
  <c r="G19" i="3"/>
  <c r="G32" i="3"/>
  <c r="G16" i="3"/>
  <c r="G31" i="3"/>
  <c r="G15" i="3"/>
  <c r="G30" i="3"/>
  <c r="G14" i="3"/>
  <c r="G29" i="3"/>
  <c r="G13" i="3"/>
  <c r="G28" i="3"/>
  <c r="G12" i="3"/>
  <c r="G27" i="3"/>
  <c r="G11" i="3"/>
  <c r="G24" i="3"/>
  <c r="G8" i="3"/>
  <c r="G23" i="3"/>
  <c r="D18" i="3"/>
  <c r="D33" i="3"/>
  <c r="D25" i="3"/>
  <c r="D17" i="3"/>
  <c r="G22" i="4"/>
  <c r="D9" i="3"/>
  <c r="D4" i="3"/>
  <c r="D30" i="3"/>
  <c r="D11" i="4"/>
  <c r="D4" i="4"/>
  <c r="D18" i="4"/>
  <c r="H24" i="4"/>
  <c r="C11" i="5"/>
  <c r="D11" i="5" s="1"/>
  <c r="C19" i="5"/>
  <c r="D19" i="5" s="1"/>
  <c r="C27" i="5"/>
  <c r="D27" i="5" s="1"/>
  <c r="C15" i="5"/>
  <c r="D15" i="5" s="1"/>
  <c r="C23" i="5"/>
  <c r="D23" i="5" s="1"/>
  <c r="C16" i="5"/>
  <c r="D16" i="5" s="1"/>
  <c r="C12" i="5"/>
  <c r="D12" i="5" s="1"/>
  <c r="C20" i="5"/>
  <c r="D20" i="5" s="1"/>
  <c r="C28" i="5"/>
  <c r="D28" i="5" s="1"/>
  <c r="C24" i="5"/>
  <c r="D24" i="5" s="1"/>
  <c r="C5" i="5"/>
  <c r="D5" i="5" s="1"/>
  <c r="C13" i="5"/>
  <c r="D13" i="5" s="1"/>
  <c r="C21" i="5"/>
  <c r="D21" i="5" s="1"/>
  <c r="C29" i="5"/>
  <c r="D29" i="5" s="1"/>
  <c r="C31" i="5"/>
  <c r="D31" i="5" s="1"/>
  <c r="C8" i="5"/>
  <c r="D8" i="5" s="1"/>
  <c r="C6" i="5"/>
  <c r="D6" i="5" s="1"/>
  <c r="C14" i="5"/>
  <c r="D14" i="5" s="1"/>
  <c r="C22" i="5"/>
  <c r="D22" i="5" s="1"/>
  <c r="C30" i="5"/>
  <c r="D30" i="5" s="1"/>
  <c r="C9" i="5"/>
  <c r="D9" i="5" s="1"/>
  <c r="C17" i="5"/>
  <c r="D17" i="5" s="1"/>
  <c r="C25" i="5"/>
  <c r="D25" i="5" s="1"/>
  <c r="C33" i="5"/>
  <c r="D33" i="5" s="1"/>
  <c r="C7" i="5"/>
  <c r="D7" i="5" s="1"/>
  <c r="C32" i="5"/>
  <c r="D32" i="5" s="1"/>
  <c r="C10" i="5"/>
  <c r="D10" i="5" s="1"/>
  <c r="C18" i="5"/>
  <c r="D18" i="5" s="1"/>
  <c r="C26" i="5"/>
  <c r="D26" i="5" s="1"/>
  <c r="C4" i="5"/>
  <c r="D4" i="5" s="1"/>
  <c r="G4" i="4"/>
  <c r="O31" i="3"/>
  <c r="G20" i="4"/>
  <c r="O29" i="3"/>
  <c r="G32" i="4"/>
  <c r="O19" i="3"/>
  <c r="G24" i="4"/>
  <c r="G29" i="4"/>
  <c r="G10" i="4"/>
  <c r="O15" i="3"/>
  <c r="G12" i="4"/>
  <c r="G19" i="4"/>
  <c r="G7" i="4"/>
  <c r="G15" i="4"/>
  <c r="G21" i="4"/>
  <c r="O30" i="3"/>
  <c r="O20" i="3"/>
  <c r="O13" i="3"/>
  <c r="O14" i="3"/>
  <c r="R20" i="2"/>
  <c r="H19" i="4"/>
  <c r="H9" i="4"/>
  <c r="H28" i="4"/>
  <c r="H12" i="4"/>
  <c r="P28" i="2"/>
  <c r="O28" i="3"/>
  <c r="O12" i="3"/>
  <c r="O27" i="3"/>
  <c r="O11" i="3"/>
  <c r="P20" i="2"/>
  <c r="O26" i="3"/>
  <c r="O10" i="3"/>
  <c r="O25" i="3"/>
  <c r="O9" i="3"/>
  <c r="P9" i="2"/>
  <c r="O24" i="3"/>
  <c r="O8" i="3"/>
  <c r="O23" i="3"/>
  <c r="O7" i="3"/>
  <c r="P29" i="2"/>
  <c r="O22" i="3"/>
  <c r="O6" i="3"/>
  <c r="O21" i="3"/>
  <c r="O5" i="3"/>
  <c r="O18" i="3"/>
  <c r="O33" i="3"/>
  <c r="P25" i="2"/>
  <c r="P33" i="2"/>
  <c r="P10" i="2"/>
  <c r="P18" i="2"/>
  <c r="P26" i="2"/>
  <c r="P7" i="2"/>
  <c r="P15" i="2"/>
  <c r="P23" i="2"/>
  <c r="P31" i="2"/>
  <c r="P8" i="2"/>
  <c r="H16" i="2"/>
  <c r="P13" i="2"/>
  <c r="P16" i="2"/>
  <c r="P24" i="2"/>
  <c r="P32" i="2"/>
  <c r="P11" i="2"/>
  <c r="P6" i="2"/>
  <c r="P14" i="2"/>
  <c r="P22" i="2"/>
  <c r="P30" i="2"/>
  <c r="H19" i="2"/>
  <c r="P19" i="2"/>
  <c r="P27" i="2"/>
  <c r="P4" i="2"/>
  <c r="P12" i="2"/>
  <c r="H4" i="4"/>
  <c r="H8" i="4"/>
  <c r="H30" i="4"/>
  <c r="H13" i="4"/>
  <c r="H23" i="4"/>
  <c r="H15" i="4"/>
  <c r="H20" i="4"/>
  <c r="D16" i="4"/>
  <c r="D10" i="4"/>
  <c r="D31" i="4"/>
  <c r="D25" i="4"/>
  <c r="D12" i="4"/>
  <c r="D14" i="4"/>
  <c r="D9" i="4"/>
  <c r="H6" i="4"/>
  <c r="H17" i="4"/>
  <c r="D26" i="4"/>
  <c r="D6" i="4"/>
  <c r="D8" i="4"/>
  <c r="D15" i="4"/>
  <c r="D33" i="4"/>
  <c r="D17" i="4"/>
  <c r="D7" i="4"/>
  <c r="D29" i="4"/>
  <c r="D13" i="4"/>
  <c r="D27" i="4"/>
  <c r="D32" i="4"/>
  <c r="D22" i="4"/>
  <c r="H5" i="4"/>
  <c r="D21" i="4"/>
  <c r="D19" i="4"/>
  <c r="D24" i="4"/>
  <c r="D23" i="4"/>
  <c r="H10" i="4"/>
  <c r="H22" i="4"/>
  <c r="H33" i="4"/>
  <c r="H26" i="4"/>
  <c r="H16" i="4"/>
  <c r="H31" i="4"/>
  <c r="H29" i="4"/>
  <c r="H11" i="4"/>
  <c r="H27" i="4"/>
  <c r="H18" i="4"/>
  <c r="H7" i="4"/>
  <c r="U30" i="2"/>
  <c r="D28" i="4"/>
  <c r="D30" i="4"/>
  <c r="H14" i="4"/>
  <c r="M33" i="2"/>
  <c r="H21" i="4"/>
  <c r="H25" i="4"/>
  <c r="H27" i="2"/>
  <c r="H32" i="2"/>
  <c r="D5" i="4"/>
  <c r="H14" i="2"/>
  <c r="H22" i="2"/>
  <c r="H33" i="2"/>
  <c r="H30" i="2"/>
  <c r="H8" i="2"/>
  <c r="D29" i="3"/>
  <c r="D32" i="3"/>
  <c r="D13" i="3"/>
  <c r="H17" i="2"/>
  <c r="H29" i="2"/>
  <c r="H10" i="2"/>
  <c r="H15" i="2"/>
  <c r="H28" i="2"/>
  <c r="D16" i="3"/>
  <c r="D27" i="3"/>
  <c r="D11" i="3"/>
  <c r="H18" i="2"/>
  <c r="H23" i="2"/>
  <c r="H4" i="2"/>
  <c r="D22" i="3"/>
  <c r="D23" i="3"/>
  <c r="D7" i="3"/>
  <c r="H13" i="2"/>
  <c r="H25" i="2"/>
  <c r="H6" i="2"/>
  <c r="H11" i="2"/>
  <c r="H24" i="2"/>
  <c r="D26" i="3"/>
  <c r="D24" i="3"/>
  <c r="D21" i="3"/>
  <c r="D5" i="3"/>
  <c r="H26" i="2"/>
  <c r="H31" i="2"/>
  <c r="H12" i="2"/>
  <c r="D8" i="3"/>
  <c r="D19" i="3"/>
  <c r="D6" i="3"/>
  <c r="H9" i="2"/>
  <c r="H21" i="2"/>
  <c r="H7" i="2"/>
  <c r="H20" i="2"/>
  <c r="D12" i="3"/>
  <c r="D31" i="3"/>
  <c r="D15" i="3"/>
  <c r="R21" i="2"/>
  <c r="D20" i="3"/>
  <c r="Q17" i="2"/>
  <c r="M31" i="2"/>
  <c r="R32" i="2"/>
  <c r="I31" i="2"/>
  <c r="R11" i="2"/>
  <c r="R23" i="2"/>
  <c r="R16" i="2"/>
  <c r="D14" i="3"/>
  <c r="R29" i="2"/>
  <c r="I9" i="2"/>
  <c r="R13" i="2"/>
  <c r="R7" i="2"/>
  <c r="R24" i="2"/>
  <c r="R8" i="2"/>
  <c r="R27" i="2"/>
  <c r="R22" i="2"/>
  <c r="R12" i="2"/>
  <c r="R28" i="2"/>
  <c r="R6" i="2"/>
  <c r="R5" i="2"/>
  <c r="R30" i="2"/>
  <c r="R19" i="2"/>
  <c r="I17" i="2"/>
  <c r="R14" i="2"/>
  <c r="U13" i="2"/>
  <c r="R15" i="2"/>
  <c r="R31" i="2"/>
  <c r="I11" i="2"/>
  <c r="R17" i="2"/>
  <c r="R33" i="2"/>
  <c r="R10" i="2"/>
  <c r="R26" i="2"/>
  <c r="U5" i="2"/>
  <c r="I13" i="2"/>
  <c r="I33" i="2"/>
  <c r="I30" i="2"/>
  <c r="R9" i="2"/>
  <c r="R25" i="2"/>
  <c r="R18" i="2"/>
  <c r="I23" i="2"/>
  <c r="U32" i="2"/>
  <c r="U9" i="2"/>
  <c r="I15" i="2"/>
  <c r="I27" i="2"/>
  <c r="U12" i="2"/>
  <c r="U15" i="2"/>
  <c r="U27" i="2"/>
  <c r="U28" i="2"/>
  <c r="U21" i="2"/>
  <c r="U23" i="2"/>
  <c r="U16" i="2"/>
  <c r="I7" i="2"/>
  <c r="U17" i="2"/>
  <c r="V15" i="2"/>
  <c r="S6" i="2"/>
  <c r="U14" i="2"/>
  <c r="U33" i="2"/>
  <c r="Q5" i="3"/>
  <c r="Q4" i="3"/>
  <c r="Q6" i="3"/>
  <c r="Q8" i="3"/>
  <c r="Q10" i="3"/>
  <c r="Q12" i="3"/>
  <c r="Q14" i="3"/>
  <c r="Q16" i="3"/>
  <c r="Q18" i="3"/>
  <c r="Q20" i="3"/>
  <c r="Q22" i="3"/>
  <c r="Q24" i="3"/>
  <c r="Q26" i="3"/>
  <c r="Q28" i="3"/>
  <c r="Q30" i="3"/>
  <c r="Q32" i="3"/>
  <c r="Q19" i="3"/>
  <c r="Q17" i="3"/>
  <c r="Q33" i="3"/>
  <c r="Q13" i="3"/>
  <c r="Q29" i="3"/>
  <c r="Q11" i="3"/>
  <c r="Q27" i="3"/>
  <c r="Q7" i="3"/>
  <c r="Q23" i="3"/>
  <c r="Q31" i="3"/>
  <c r="Q9" i="3"/>
  <c r="Q15" i="3"/>
  <c r="Q21" i="3"/>
  <c r="Q25" i="3"/>
  <c r="U19" i="2"/>
  <c r="U31" i="2"/>
  <c r="U8" i="2"/>
  <c r="M28" i="2"/>
  <c r="U25" i="2"/>
  <c r="U26" i="2"/>
  <c r="F4" i="4"/>
  <c r="F10" i="4"/>
  <c r="F18" i="4"/>
  <c r="F26" i="4"/>
  <c r="F13" i="4"/>
  <c r="F21" i="4"/>
  <c r="F29" i="4"/>
  <c r="F7" i="4"/>
  <c r="F11" i="4"/>
  <c r="F19" i="4"/>
  <c r="F6" i="4"/>
  <c r="F9" i="4"/>
  <c r="F15" i="4"/>
  <c r="F23" i="4"/>
  <c r="F27" i="4"/>
  <c r="F33" i="4"/>
  <c r="F20" i="4"/>
  <c r="F32" i="4"/>
  <c r="F22" i="4"/>
  <c r="F31" i="4"/>
  <c r="F12" i="4"/>
  <c r="F24" i="4"/>
  <c r="F14" i="4"/>
  <c r="F16" i="4"/>
  <c r="F25" i="4"/>
  <c r="F5" i="4"/>
  <c r="F8" i="4"/>
  <c r="F17" i="4"/>
  <c r="F28" i="4"/>
  <c r="F30" i="4"/>
  <c r="S6" i="3"/>
  <c r="S8" i="3"/>
  <c r="S10" i="3"/>
  <c r="S12" i="3"/>
  <c r="S14" i="3"/>
  <c r="S16" i="3"/>
  <c r="S18" i="3"/>
  <c r="S20" i="3"/>
  <c r="S22" i="3"/>
  <c r="S24" i="3"/>
  <c r="S26" i="3"/>
  <c r="S28" i="3"/>
  <c r="S30" i="3"/>
  <c r="S32" i="3"/>
  <c r="S5" i="3"/>
  <c r="S7" i="3"/>
  <c r="S9" i="3"/>
  <c r="S11" i="3"/>
  <c r="S13" i="3"/>
  <c r="S15" i="3"/>
  <c r="S17" i="3"/>
  <c r="S19" i="3"/>
  <c r="S21" i="3"/>
  <c r="S23" i="3"/>
  <c r="S25" i="3"/>
  <c r="S27" i="3"/>
  <c r="S29" i="3"/>
  <c r="S31" i="3"/>
  <c r="S33" i="3"/>
  <c r="S4" i="3"/>
  <c r="K6" i="3"/>
  <c r="K8" i="3"/>
  <c r="K10" i="3"/>
  <c r="K12" i="3"/>
  <c r="K14" i="3"/>
  <c r="K16" i="3"/>
  <c r="K18" i="3"/>
  <c r="K20" i="3"/>
  <c r="K22" i="3"/>
  <c r="K24" i="3"/>
  <c r="K26" i="3"/>
  <c r="K28" i="3"/>
  <c r="K30" i="3"/>
  <c r="K32" i="3"/>
  <c r="K5" i="3"/>
  <c r="K7" i="3"/>
  <c r="K9" i="3"/>
  <c r="K11" i="3"/>
  <c r="K13" i="3"/>
  <c r="K15" i="3"/>
  <c r="K17" i="3"/>
  <c r="K19" i="3"/>
  <c r="K21" i="3"/>
  <c r="K23" i="3"/>
  <c r="K25" i="3"/>
  <c r="K27" i="3"/>
  <c r="K29" i="3"/>
  <c r="K31" i="3"/>
  <c r="K33" i="3"/>
  <c r="K4" i="3"/>
  <c r="E5" i="3"/>
  <c r="E7" i="3"/>
  <c r="E9" i="3"/>
  <c r="E11" i="3"/>
  <c r="E13" i="3"/>
  <c r="E15" i="3"/>
  <c r="E17" i="3"/>
  <c r="E19" i="3"/>
  <c r="E21" i="3"/>
  <c r="E23" i="3"/>
  <c r="E25" i="3"/>
  <c r="E27" i="3"/>
  <c r="E29" i="3"/>
  <c r="E31" i="3"/>
  <c r="E33" i="3"/>
  <c r="E10" i="3"/>
  <c r="E26" i="3"/>
  <c r="E8" i="3"/>
  <c r="E24" i="3"/>
  <c r="E6" i="3"/>
  <c r="E20" i="3"/>
  <c r="E4" i="3"/>
  <c r="E18" i="3"/>
  <c r="E14" i="3"/>
  <c r="E30" i="3"/>
  <c r="E12" i="3"/>
  <c r="E32" i="3"/>
  <c r="E16" i="3"/>
  <c r="E22" i="3"/>
  <c r="E28" i="3"/>
  <c r="N4" i="4"/>
  <c r="N10" i="4"/>
  <c r="N18" i="4"/>
  <c r="N26" i="4"/>
  <c r="N7" i="4"/>
  <c r="N13" i="4"/>
  <c r="N21" i="4"/>
  <c r="N11" i="4"/>
  <c r="N6" i="4"/>
  <c r="N5" i="4"/>
  <c r="N14" i="4"/>
  <c r="N16" i="4"/>
  <c r="N33" i="4"/>
  <c r="N12" i="4"/>
  <c r="N32" i="4"/>
  <c r="N25" i="4"/>
  <c r="N31" i="4"/>
  <c r="N28" i="4"/>
  <c r="N8" i="4"/>
  <c r="N20" i="4"/>
  <c r="N24" i="4"/>
  <c r="N15" i="4"/>
  <c r="N9" i="4"/>
  <c r="N17" i="4"/>
  <c r="N19" i="4"/>
  <c r="N29" i="4"/>
  <c r="N23" i="4"/>
  <c r="N27" i="4"/>
  <c r="N30" i="4"/>
  <c r="N22" i="4"/>
  <c r="N6" i="3"/>
  <c r="N8" i="3"/>
  <c r="N10" i="3"/>
  <c r="N12" i="3"/>
  <c r="N14" i="3"/>
  <c r="N16" i="3"/>
  <c r="N18" i="3"/>
  <c r="N20" i="3"/>
  <c r="N22" i="3"/>
  <c r="N24" i="3"/>
  <c r="N26" i="3"/>
  <c r="N28" i="3"/>
  <c r="N30" i="3"/>
  <c r="N32" i="3"/>
  <c r="N15" i="3"/>
  <c r="N31" i="3"/>
  <c r="N5" i="3"/>
  <c r="N13" i="3"/>
  <c r="N29" i="3"/>
  <c r="N9" i="3"/>
  <c r="N25" i="3"/>
  <c r="N7" i="3"/>
  <c r="N23" i="3"/>
  <c r="N19" i="3"/>
  <c r="N17" i="3"/>
  <c r="N4" i="3"/>
  <c r="N21" i="3"/>
  <c r="N33" i="3"/>
  <c r="N27" i="3"/>
  <c r="N11" i="3"/>
  <c r="R5" i="3"/>
  <c r="R7" i="3"/>
  <c r="R9" i="3"/>
  <c r="R11" i="3"/>
  <c r="R13" i="3"/>
  <c r="R15" i="3"/>
  <c r="R17" i="3"/>
  <c r="R19" i="3"/>
  <c r="R21" i="3"/>
  <c r="R23" i="3"/>
  <c r="R25" i="3"/>
  <c r="R27" i="3"/>
  <c r="R29" i="3"/>
  <c r="R31" i="3"/>
  <c r="R33" i="3"/>
  <c r="R4" i="3"/>
  <c r="R18" i="3"/>
  <c r="R16" i="3"/>
  <c r="R32" i="3"/>
  <c r="R12" i="3"/>
  <c r="R28" i="3"/>
  <c r="R10" i="3"/>
  <c r="R26" i="3"/>
  <c r="R6" i="3"/>
  <c r="R22" i="3"/>
  <c r="R14" i="3"/>
  <c r="R30" i="3"/>
  <c r="R20" i="3"/>
  <c r="R24" i="3"/>
  <c r="R8" i="3"/>
  <c r="U11" i="2"/>
  <c r="U4" i="2"/>
  <c r="U24" i="2"/>
  <c r="K4" i="4"/>
  <c r="K5" i="4"/>
  <c r="K7" i="4"/>
  <c r="K11" i="4"/>
  <c r="K19" i="4"/>
  <c r="K27" i="4"/>
  <c r="K6" i="4"/>
  <c r="K14" i="4"/>
  <c r="K22" i="4"/>
  <c r="K12" i="4"/>
  <c r="K20" i="4"/>
  <c r="K29" i="4"/>
  <c r="K8" i="4"/>
  <c r="K15" i="4"/>
  <c r="K17" i="4"/>
  <c r="K24" i="4"/>
  <c r="K28" i="4"/>
  <c r="K32" i="4"/>
  <c r="K33" i="4"/>
  <c r="K9" i="4"/>
  <c r="K13" i="4"/>
  <c r="K23" i="4"/>
  <c r="K10" i="4"/>
  <c r="K30" i="4"/>
  <c r="K18" i="4"/>
  <c r="K26" i="4"/>
  <c r="K21" i="4"/>
  <c r="K16" i="4"/>
  <c r="K25" i="4"/>
  <c r="K31" i="4"/>
  <c r="U5" i="3"/>
  <c r="U7" i="3"/>
  <c r="U9" i="3"/>
  <c r="U11" i="3"/>
  <c r="U13" i="3"/>
  <c r="U15" i="3"/>
  <c r="U17" i="3"/>
  <c r="U19" i="3"/>
  <c r="U21" i="3"/>
  <c r="U23" i="3"/>
  <c r="U25" i="3"/>
  <c r="U27" i="3"/>
  <c r="U29" i="3"/>
  <c r="U31" i="3"/>
  <c r="U33" i="3"/>
  <c r="U6" i="3"/>
  <c r="U22" i="3"/>
  <c r="U20" i="3"/>
  <c r="U4" i="3"/>
  <c r="U16" i="3"/>
  <c r="U32" i="3"/>
  <c r="U14" i="3"/>
  <c r="U30" i="3"/>
  <c r="U10" i="3"/>
  <c r="U26" i="3"/>
  <c r="U8" i="3"/>
  <c r="U28" i="3"/>
  <c r="U24" i="3"/>
  <c r="U12" i="3"/>
  <c r="U18" i="3"/>
  <c r="C12" i="4"/>
  <c r="C20" i="4"/>
  <c r="C28" i="4"/>
  <c r="C5" i="4"/>
  <c r="C13" i="4"/>
  <c r="C21" i="4"/>
  <c r="C29" i="4"/>
  <c r="C17" i="4"/>
  <c r="C6" i="4"/>
  <c r="C14" i="4"/>
  <c r="C22" i="4"/>
  <c r="C30" i="4"/>
  <c r="C25" i="4"/>
  <c r="C7" i="4"/>
  <c r="C15" i="4"/>
  <c r="C23" i="4"/>
  <c r="C31" i="4"/>
  <c r="C33" i="4"/>
  <c r="C8" i="4"/>
  <c r="C16" i="4"/>
  <c r="C24" i="4"/>
  <c r="C32" i="4"/>
  <c r="C10" i="4"/>
  <c r="C18" i="4"/>
  <c r="C26" i="4"/>
  <c r="C4" i="4"/>
  <c r="C19" i="4"/>
  <c r="C27" i="4"/>
  <c r="C11" i="4"/>
  <c r="C9" i="4"/>
  <c r="J5" i="3"/>
  <c r="J7" i="3"/>
  <c r="J9" i="3"/>
  <c r="J11" i="3"/>
  <c r="J13" i="3"/>
  <c r="J15" i="3"/>
  <c r="J17" i="3"/>
  <c r="J19" i="3"/>
  <c r="J21" i="3"/>
  <c r="J23" i="3"/>
  <c r="J25" i="3"/>
  <c r="J27" i="3"/>
  <c r="J29" i="3"/>
  <c r="J31" i="3"/>
  <c r="J33" i="3"/>
  <c r="J4" i="3"/>
  <c r="J12" i="3"/>
  <c r="J28" i="3"/>
  <c r="J10" i="3"/>
  <c r="J26" i="3"/>
  <c r="J22" i="3"/>
  <c r="J6" i="3"/>
  <c r="J20" i="3"/>
  <c r="J16" i="3"/>
  <c r="J32" i="3"/>
  <c r="J18" i="3"/>
  <c r="J24" i="3"/>
  <c r="J30" i="3"/>
  <c r="J8" i="3"/>
  <c r="J14" i="3"/>
  <c r="F6" i="3"/>
  <c r="F8" i="3"/>
  <c r="F10" i="3"/>
  <c r="F12" i="3"/>
  <c r="F14" i="3"/>
  <c r="F16" i="3"/>
  <c r="F18" i="3"/>
  <c r="F20" i="3"/>
  <c r="F22" i="3"/>
  <c r="F24" i="3"/>
  <c r="F26" i="3"/>
  <c r="F28" i="3"/>
  <c r="F30" i="3"/>
  <c r="F32" i="3"/>
  <c r="F5" i="3"/>
  <c r="F9" i="3"/>
  <c r="F25" i="3"/>
  <c r="F7" i="3"/>
  <c r="F23" i="3"/>
  <c r="F19" i="3"/>
  <c r="F17" i="3"/>
  <c r="F33" i="3"/>
  <c r="F4" i="3"/>
  <c r="F13" i="3"/>
  <c r="F29" i="3"/>
  <c r="F15" i="3"/>
  <c r="F21" i="3"/>
  <c r="F27" i="3"/>
  <c r="F11" i="3"/>
  <c r="F31" i="3"/>
  <c r="C6" i="3"/>
  <c r="C8" i="3"/>
  <c r="C10" i="3"/>
  <c r="C12" i="3"/>
  <c r="C14" i="3"/>
  <c r="C16" i="3"/>
  <c r="C18" i="3"/>
  <c r="C20" i="3"/>
  <c r="C27" i="1" s="1"/>
  <c r="C22" i="3"/>
  <c r="C24" i="3"/>
  <c r="C26" i="3"/>
  <c r="C28" i="3"/>
  <c r="C30" i="3"/>
  <c r="C32" i="3"/>
  <c r="C4" i="3"/>
  <c r="C5" i="3"/>
  <c r="C7" i="3"/>
  <c r="C9" i="3"/>
  <c r="C11" i="3"/>
  <c r="C13" i="3"/>
  <c r="C15" i="3"/>
  <c r="C17" i="3"/>
  <c r="C19" i="3"/>
  <c r="C21" i="3"/>
  <c r="C23" i="3"/>
  <c r="C25" i="3"/>
  <c r="C27" i="3"/>
  <c r="C29" i="3"/>
  <c r="C31" i="3"/>
  <c r="C33" i="3"/>
  <c r="V4" i="4"/>
  <c r="V10" i="4"/>
  <c r="V18" i="4"/>
  <c r="V26" i="4"/>
  <c r="V13" i="4"/>
  <c r="V21" i="4"/>
  <c r="V5" i="4"/>
  <c r="V11" i="4"/>
  <c r="V6" i="4"/>
  <c r="V9" i="4"/>
  <c r="V25" i="4"/>
  <c r="V33" i="4"/>
  <c r="V17" i="4"/>
  <c r="V20" i="4"/>
  <c r="V24" i="4"/>
  <c r="V14" i="4"/>
  <c r="V16" i="4"/>
  <c r="V15" i="4"/>
  <c r="V19" i="4"/>
  <c r="V31" i="4"/>
  <c r="V28" i="4"/>
  <c r="V22" i="4"/>
  <c r="V23" i="4"/>
  <c r="V27" i="4"/>
  <c r="V29" i="4"/>
  <c r="V32" i="4"/>
  <c r="V7" i="4"/>
  <c r="V12" i="4"/>
  <c r="V8" i="4"/>
  <c r="V30" i="4"/>
  <c r="T7" i="4"/>
  <c r="T6" i="4"/>
  <c r="T8" i="4"/>
  <c r="T16" i="4"/>
  <c r="T24" i="4"/>
  <c r="T5" i="4"/>
  <c r="T11" i="4"/>
  <c r="T19" i="4"/>
  <c r="T27" i="4"/>
  <c r="T9" i="4"/>
  <c r="T17" i="4"/>
  <c r="T4" i="4"/>
  <c r="T15" i="4"/>
  <c r="T31" i="4"/>
  <c r="T10" i="4"/>
  <c r="T13" i="4"/>
  <c r="T28" i="4"/>
  <c r="T23" i="4"/>
  <c r="T29" i="4"/>
  <c r="T26" i="4"/>
  <c r="T22" i="4"/>
  <c r="T32" i="4"/>
  <c r="T12" i="4"/>
  <c r="T14" i="4"/>
  <c r="T18" i="4"/>
  <c r="T21" i="4"/>
  <c r="T25" i="4"/>
  <c r="T33" i="4"/>
  <c r="T30" i="4"/>
  <c r="T20" i="4"/>
  <c r="P5" i="3"/>
  <c r="P4" i="3"/>
  <c r="P6" i="3"/>
  <c r="P8" i="3"/>
  <c r="P10" i="3"/>
  <c r="P12" i="3"/>
  <c r="P14" i="3"/>
  <c r="P16" i="3"/>
  <c r="P18" i="3"/>
  <c r="P20" i="3"/>
  <c r="P22" i="3"/>
  <c r="P24" i="3"/>
  <c r="P26" i="3"/>
  <c r="P28" i="3"/>
  <c r="P30" i="3"/>
  <c r="P32" i="3"/>
  <c r="P17" i="3"/>
  <c r="P33" i="3"/>
  <c r="P15" i="3"/>
  <c r="P31" i="3"/>
  <c r="P11" i="3"/>
  <c r="P27" i="3"/>
  <c r="P9" i="3"/>
  <c r="P25" i="3"/>
  <c r="P21" i="3"/>
  <c r="P23" i="3"/>
  <c r="P13" i="3"/>
  <c r="P29" i="3"/>
  <c r="P7" i="3"/>
  <c r="P19" i="3"/>
  <c r="E4" i="4"/>
  <c r="E7" i="4"/>
  <c r="E13" i="4"/>
  <c r="E21" i="4"/>
  <c r="E29" i="4"/>
  <c r="E8" i="4"/>
  <c r="E16" i="4"/>
  <c r="E24" i="4"/>
  <c r="E14" i="4"/>
  <c r="E9" i="4"/>
  <c r="E5" i="4"/>
  <c r="E22" i="4"/>
  <c r="E31" i="4"/>
  <c r="E10" i="4"/>
  <c r="E26" i="4"/>
  <c r="E6" i="4"/>
  <c r="E11" i="4"/>
  <c r="E18" i="4"/>
  <c r="E25" i="4"/>
  <c r="E12" i="4"/>
  <c r="E20" i="4"/>
  <c r="E32" i="4"/>
  <c r="E17" i="4"/>
  <c r="E19" i="4"/>
  <c r="E28" i="4"/>
  <c r="E30" i="4"/>
  <c r="E27" i="4"/>
  <c r="E33" i="4"/>
  <c r="E15" i="4"/>
  <c r="E23" i="4"/>
  <c r="U20" i="2"/>
  <c r="L7" i="4"/>
  <c r="L8" i="4"/>
  <c r="L16" i="4"/>
  <c r="L24" i="4"/>
  <c r="L11" i="4"/>
  <c r="L19" i="4"/>
  <c r="L27" i="4"/>
  <c r="L5" i="4"/>
  <c r="L9" i="4"/>
  <c r="L17" i="4"/>
  <c r="L12" i="4"/>
  <c r="L4" i="4"/>
  <c r="L21" i="4"/>
  <c r="L25" i="4"/>
  <c r="L31" i="4"/>
  <c r="L20" i="4"/>
  <c r="L6" i="4"/>
  <c r="L29" i="4"/>
  <c r="L30" i="4"/>
  <c r="L15" i="4"/>
  <c r="L28" i="4"/>
  <c r="L32" i="4"/>
  <c r="L10" i="4"/>
  <c r="L13" i="4"/>
  <c r="L23" i="4"/>
  <c r="L22" i="4"/>
  <c r="L33" i="4"/>
  <c r="L14" i="4"/>
  <c r="L18" i="4"/>
  <c r="L26" i="4"/>
  <c r="U29" i="2"/>
  <c r="U22" i="2"/>
  <c r="J5" i="4"/>
  <c r="J6" i="4"/>
  <c r="J14" i="4"/>
  <c r="J22" i="4"/>
  <c r="J9" i="4"/>
  <c r="J17" i="4"/>
  <c r="J25" i="4"/>
  <c r="J15" i="4"/>
  <c r="J10" i="4"/>
  <c r="J29" i="4"/>
  <c r="J26" i="4"/>
  <c r="J8" i="4"/>
  <c r="J24" i="4"/>
  <c r="J28" i="4"/>
  <c r="J32" i="4"/>
  <c r="J18" i="4"/>
  <c r="J4" i="4"/>
  <c r="J7" i="4"/>
  <c r="J13" i="4"/>
  <c r="J19" i="4"/>
  <c r="J23" i="4"/>
  <c r="J30" i="4"/>
  <c r="J27" i="4"/>
  <c r="J33" i="4"/>
  <c r="J11" i="4"/>
  <c r="J16" i="4"/>
  <c r="J21" i="4"/>
  <c r="J31" i="4"/>
  <c r="J12" i="4"/>
  <c r="J20" i="4"/>
  <c r="I5" i="3"/>
  <c r="I4" i="3"/>
  <c r="I6" i="3"/>
  <c r="I8" i="3"/>
  <c r="I10" i="3"/>
  <c r="I12" i="3"/>
  <c r="I14" i="3"/>
  <c r="I16" i="3"/>
  <c r="I18" i="3"/>
  <c r="I20" i="3"/>
  <c r="I22" i="3"/>
  <c r="I24" i="3"/>
  <c r="I26" i="3"/>
  <c r="I28" i="3"/>
  <c r="I30" i="3"/>
  <c r="I32" i="3"/>
  <c r="I13" i="3"/>
  <c r="I29" i="3"/>
  <c r="I11" i="3"/>
  <c r="I27" i="3"/>
  <c r="I7" i="3"/>
  <c r="I23" i="3"/>
  <c r="I21" i="3"/>
  <c r="I17" i="3"/>
  <c r="I33" i="3"/>
  <c r="I9" i="3"/>
  <c r="I15" i="3"/>
  <c r="I19" i="3"/>
  <c r="I25" i="3"/>
  <c r="I31" i="3"/>
  <c r="M4" i="4"/>
  <c r="M7" i="4"/>
  <c r="M13" i="4"/>
  <c r="M21" i="4"/>
  <c r="M8" i="4"/>
  <c r="M16" i="4"/>
  <c r="M24" i="4"/>
  <c r="M6" i="4"/>
  <c r="M14" i="4"/>
  <c r="M5" i="4"/>
  <c r="M9" i="4"/>
  <c r="M12" i="4"/>
  <c r="M18" i="4"/>
  <c r="M26" i="4"/>
  <c r="M23" i="4"/>
  <c r="M27" i="4"/>
  <c r="M25" i="4"/>
  <c r="M31" i="4"/>
  <c r="M20" i="4"/>
  <c r="M17" i="4"/>
  <c r="M19" i="4"/>
  <c r="M29" i="4"/>
  <c r="M15" i="4"/>
  <c r="M28" i="4"/>
  <c r="M32" i="4"/>
  <c r="M10" i="4"/>
  <c r="M22" i="4"/>
  <c r="M30" i="4"/>
  <c r="M11" i="4"/>
  <c r="M33" i="4"/>
  <c r="I29" i="2"/>
  <c r="I10" i="2"/>
  <c r="I26" i="2"/>
  <c r="I25" i="2"/>
  <c r="I6" i="2"/>
  <c r="I22" i="2"/>
  <c r="I19" i="2"/>
  <c r="I8" i="2"/>
  <c r="I21" i="2"/>
  <c r="I18" i="2"/>
  <c r="I14" i="2"/>
  <c r="I24" i="2"/>
  <c r="I28" i="2"/>
  <c r="I16" i="2"/>
  <c r="I32" i="2"/>
  <c r="I12" i="2"/>
  <c r="I4" i="2"/>
  <c r="I20" i="2"/>
  <c r="M32" i="2"/>
  <c r="Q23" i="2"/>
  <c r="M23" i="2"/>
  <c r="M30" i="2"/>
  <c r="M15" i="2"/>
  <c r="M19" i="2"/>
  <c r="M26" i="2"/>
  <c r="M20" i="2"/>
  <c r="M25" i="2"/>
  <c r="M16" i="2"/>
  <c r="S23" i="2"/>
  <c r="S11" i="2"/>
  <c r="S5" i="2"/>
  <c r="S14" i="2"/>
  <c r="S10" i="2"/>
  <c r="M27" i="2"/>
  <c r="M24" i="2"/>
  <c r="M10" i="2"/>
  <c r="V30" i="2"/>
  <c r="M11" i="2"/>
  <c r="M4" i="2"/>
  <c r="M12" i="2"/>
  <c r="V4" i="2"/>
  <c r="M5" i="2"/>
  <c r="M9" i="2"/>
  <c r="S22" i="2"/>
  <c r="M6" i="2"/>
  <c r="M8" i="2"/>
  <c r="S18" i="2"/>
  <c r="M18" i="2"/>
  <c r="S15" i="2"/>
  <c r="V26" i="2"/>
  <c r="V11" i="2"/>
  <c r="V32" i="2"/>
  <c r="M22" i="2"/>
  <c r="V22" i="2"/>
  <c r="V7" i="2"/>
  <c r="V28" i="2"/>
  <c r="V13" i="2"/>
  <c r="V18" i="2"/>
  <c r="V24" i="2"/>
  <c r="V9" i="2"/>
  <c r="V33" i="2"/>
  <c r="V14" i="2"/>
  <c r="V31" i="2"/>
  <c r="V20" i="2"/>
  <c r="V5" i="2"/>
  <c r="V29" i="2"/>
  <c r="V10" i="2"/>
  <c r="V27" i="2"/>
  <c r="V16" i="2"/>
  <c r="V23" i="2"/>
  <c r="V12" i="2"/>
  <c r="V19" i="2"/>
  <c r="V8" i="2"/>
  <c r="M13" i="2"/>
  <c r="M17" i="2"/>
  <c r="M21" i="2"/>
  <c r="M29" i="2"/>
  <c r="V21" i="2"/>
  <c r="M14" i="2"/>
  <c r="U6" i="2"/>
  <c r="S9" i="2"/>
  <c r="S13" i="2"/>
  <c r="S17" i="2"/>
  <c r="S21" i="2"/>
  <c r="S25" i="2"/>
  <c r="S29" i="2"/>
  <c r="S33" i="2"/>
  <c r="S7" i="2"/>
  <c r="S8" i="2"/>
  <c r="S12" i="2"/>
  <c r="S16" i="2"/>
  <c r="S20" i="2"/>
  <c r="S24" i="2"/>
  <c r="S28" i="2"/>
  <c r="S32" i="2"/>
  <c r="V25" i="2"/>
  <c r="S27" i="2"/>
  <c r="S26" i="2"/>
  <c r="S30" i="2"/>
  <c r="V17" i="2"/>
  <c r="S19" i="2"/>
  <c r="Q5" i="2"/>
  <c r="Q24" i="2"/>
  <c r="Q21" i="2"/>
  <c r="Q10" i="2"/>
  <c r="Q27" i="2"/>
  <c r="Q16" i="2"/>
  <c r="Q25" i="2"/>
  <c r="Q14" i="2"/>
  <c r="Q31" i="2"/>
  <c r="Q8" i="2"/>
  <c r="Q29" i="2"/>
  <c r="Q18" i="2"/>
  <c r="U18" i="2"/>
  <c r="Q33" i="2"/>
  <c r="Q22" i="2"/>
  <c r="Q7" i="2"/>
  <c r="Q32" i="2"/>
  <c r="U10" i="2"/>
  <c r="Q26" i="2"/>
  <c r="Q11" i="2"/>
  <c r="Q4" i="2"/>
  <c r="Q12" i="2"/>
  <c r="Q9" i="2"/>
  <c r="Q30" i="2"/>
  <c r="Q15" i="2"/>
  <c r="Q20" i="2"/>
  <c r="Q13" i="2"/>
  <c r="Q19" i="2"/>
  <c r="Q28" i="2"/>
  <c r="S31" i="2"/>
  <c r="T7" i="2"/>
  <c r="T11" i="2"/>
  <c r="T15" i="2"/>
  <c r="T19" i="2"/>
  <c r="T23" i="2"/>
  <c r="T27" i="2"/>
  <c r="T31" i="2"/>
  <c r="T4" i="2"/>
  <c r="T8" i="2"/>
  <c r="T12" i="2"/>
  <c r="T16" i="2"/>
  <c r="T20" i="2"/>
  <c r="T24" i="2"/>
  <c r="T28" i="2"/>
  <c r="T32" i="2"/>
  <c r="T5" i="2"/>
  <c r="T9" i="2"/>
  <c r="T13" i="2"/>
  <c r="T17" i="2"/>
  <c r="T21" i="2"/>
  <c r="T25" i="2"/>
  <c r="T29" i="2"/>
  <c r="T33" i="2"/>
  <c r="T6" i="2"/>
  <c r="T10" i="2"/>
  <c r="T14" i="2"/>
  <c r="T18" i="2"/>
  <c r="T22" i="2"/>
  <c r="T26" i="2"/>
  <c r="T30" i="2"/>
  <c r="L7" i="2"/>
  <c r="L11" i="2"/>
  <c r="L15" i="2"/>
  <c r="L19" i="2"/>
  <c r="L23" i="2"/>
  <c r="L27" i="2"/>
  <c r="L31" i="2"/>
  <c r="L4" i="2"/>
  <c r="L8" i="2"/>
  <c r="L12" i="2"/>
  <c r="L16" i="2"/>
  <c r="L20" i="2"/>
  <c r="L24" i="2"/>
  <c r="L28" i="2"/>
  <c r="L32" i="2"/>
  <c r="L5" i="2"/>
  <c r="L9" i="2"/>
  <c r="L13" i="2"/>
  <c r="L17" i="2"/>
  <c r="L21" i="2"/>
  <c r="L25" i="2"/>
  <c r="L29" i="2"/>
  <c r="L33" i="2"/>
  <c r="L6" i="2"/>
  <c r="L10" i="2"/>
  <c r="L14" i="2"/>
  <c r="L18" i="2"/>
  <c r="L22" i="2"/>
  <c r="L26" i="2"/>
  <c r="L30" i="2"/>
  <c r="O35" i="2"/>
  <c r="O36" i="2" s="1"/>
  <c r="D35" i="2"/>
  <c r="D36" i="2" s="1"/>
  <c r="N35" i="2"/>
  <c r="N36" i="2" s="1"/>
  <c r="F35" i="2"/>
  <c r="F36" i="2" s="1"/>
  <c r="J35" i="2"/>
  <c r="J36" i="2" s="1"/>
  <c r="E35" i="2"/>
  <c r="E36" i="2" s="1"/>
  <c r="G35" i="2"/>
  <c r="G36" i="2" s="1"/>
  <c r="K35" i="2"/>
  <c r="K36" i="2" s="1"/>
  <c r="P35" i="4"/>
  <c r="P36" i="4" s="1"/>
  <c r="R35" i="4"/>
  <c r="R36" i="4" s="1"/>
  <c r="O35" i="4"/>
  <c r="O36" i="4" s="1"/>
  <c r="S35" i="4"/>
  <c r="S36" i="4" s="1"/>
  <c r="U35" i="4"/>
  <c r="U36" i="4" s="1"/>
  <c r="Q35" i="4"/>
  <c r="Q36" i="4" s="1"/>
  <c r="I35" i="4"/>
  <c r="I36" i="4" s="1"/>
  <c r="C35" i="2"/>
  <c r="C36" i="2" s="1"/>
  <c r="C24" i="1" l="1"/>
  <c r="C34" i="1"/>
  <c r="C29" i="1"/>
  <c r="C17" i="1"/>
  <c r="C33" i="1"/>
  <c r="C13" i="1"/>
  <c r="C22" i="1"/>
  <c r="C38" i="1"/>
  <c r="C18" i="1"/>
  <c r="C12" i="1"/>
  <c r="C23" i="1"/>
  <c r="C37" i="1"/>
  <c r="C36" i="1"/>
  <c r="C30" i="1"/>
  <c r="C28" i="1"/>
  <c r="C32" i="1"/>
  <c r="C31" i="1"/>
  <c r="C14" i="1"/>
  <c r="C25" i="1"/>
  <c r="C39" i="1"/>
  <c r="C20" i="1"/>
  <c r="C26" i="1"/>
  <c r="C40" i="1"/>
  <c r="C21" i="1"/>
  <c r="C35" i="1"/>
  <c r="C19" i="1"/>
  <c r="C15" i="1"/>
  <c r="C16" i="1"/>
  <c r="C11" i="1"/>
  <c r="G35" i="4"/>
  <c r="G36" i="4" s="1"/>
  <c r="P35" i="2"/>
  <c r="P36" i="2" s="1"/>
  <c r="D35" i="4"/>
  <c r="D36" i="4" s="1"/>
  <c r="H35" i="4"/>
  <c r="H36" i="4" s="1"/>
  <c r="H35" i="2"/>
  <c r="H36" i="2" s="1"/>
  <c r="R35" i="2"/>
  <c r="R36" i="2" s="1"/>
  <c r="L35" i="4"/>
  <c r="L36" i="4" s="1"/>
  <c r="N35" i="4"/>
  <c r="N36" i="4" s="1"/>
  <c r="F35" i="4"/>
  <c r="F36" i="4" s="1"/>
  <c r="K35" i="4"/>
  <c r="K36" i="4" s="1"/>
  <c r="M35" i="4"/>
  <c r="M36" i="4" s="1"/>
  <c r="V35" i="4"/>
  <c r="V36" i="4" s="1"/>
  <c r="C35" i="4"/>
  <c r="C36" i="4" s="1"/>
  <c r="T35" i="4"/>
  <c r="T36" i="4" s="1"/>
  <c r="J35" i="4"/>
  <c r="J36" i="4" s="1"/>
  <c r="E35" i="4"/>
  <c r="E36" i="4" s="1"/>
  <c r="I35" i="2"/>
  <c r="I36" i="2" s="1"/>
  <c r="M35" i="2"/>
  <c r="M36" i="2" s="1"/>
  <c r="V35" i="2"/>
  <c r="V36" i="2" s="1"/>
  <c r="S35" i="2"/>
  <c r="S36" i="2" s="1"/>
  <c r="U35" i="2"/>
  <c r="U36" i="2" s="1"/>
  <c r="Q35" i="2"/>
  <c r="Q36" i="2" s="1"/>
  <c r="T35" i="2"/>
  <c r="T36" i="2" s="1"/>
  <c r="L35" i="2"/>
  <c r="L36" i="2" s="1"/>
  <c r="C43" i="1" l="1" a="1"/>
  <c r="C43" i="1" s="1"/>
  <c r="C42" i="1"/>
  <c r="D28" i="1" l="1"/>
  <c r="D39" i="1"/>
  <c r="D24" i="1"/>
  <c r="D27" i="1"/>
  <c r="D40" i="1"/>
  <c r="D32" i="1"/>
  <c r="D29" i="1"/>
  <c r="D38" i="1"/>
  <c r="D31" i="1"/>
  <c r="D26" i="1"/>
  <c r="D22" i="1"/>
  <c r="D33" i="1"/>
  <c r="D34" i="1"/>
  <c r="D25" i="1"/>
  <c r="D36" i="1"/>
  <c r="D30" i="1"/>
  <c r="D23" i="1"/>
  <c r="D20" i="1"/>
  <c r="D21" i="1"/>
  <c r="D37" i="1"/>
  <c r="D35" i="1"/>
  <c r="D11" i="1"/>
  <c r="D12" i="1"/>
  <c r="D19" i="1"/>
  <c r="D18" i="1"/>
  <c r="D17" i="1"/>
  <c r="D16" i="1"/>
  <c r="D13" i="1"/>
  <c r="D15" i="1"/>
  <c r="D14" i="1"/>
  <c r="D43" i="1" l="1" a="1"/>
  <c r="D43" i="1" s="1"/>
  <c r="D42" i="1"/>
  <c r="E13" i="5" s="1"/>
  <c r="E4" i="5" l="1"/>
  <c r="E11" i="1" s="1"/>
  <c r="E28" i="5"/>
  <c r="E35" i="1" s="1"/>
  <c r="E30" i="5"/>
  <c r="E37" i="1" s="1"/>
  <c r="E8" i="5"/>
  <c r="E14" i="5"/>
  <c r="E21" i="1" s="1"/>
  <c r="E20" i="5"/>
  <c r="E27" i="1" s="1"/>
  <c r="E24" i="5"/>
  <c r="E31" i="1" s="1"/>
  <c r="E7" i="5"/>
  <c r="E14" i="1" s="1"/>
  <c r="E22" i="5"/>
  <c r="E29" i="1" s="1"/>
  <c r="E27" i="5"/>
  <c r="E34" i="1" s="1"/>
  <c r="E21" i="5"/>
  <c r="E28" i="1" s="1"/>
  <c r="E29" i="5"/>
  <c r="E36" i="1" s="1"/>
  <c r="E26" i="5"/>
  <c r="E33" i="1" s="1"/>
  <c r="E6" i="5"/>
  <c r="E13" i="1" s="1"/>
  <c r="E16" i="5"/>
  <c r="E23" i="1" s="1"/>
  <c r="E23" i="5"/>
  <c r="E30" i="1" s="1"/>
  <c r="E12" i="5"/>
  <c r="E19" i="1" s="1"/>
  <c r="E11" i="5"/>
  <c r="E18" i="1" s="1"/>
  <c r="E17" i="5"/>
  <c r="E24" i="1" s="1"/>
  <c r="E15" i="5"/>
  <c r="E22" i="1" s="1"/>
  <c r="E5" i="5"/>
  <c r="E12" i="1" s="1"/>
  <c r="E32" i="5"/>
  <c r="E39" i="1" s="1"/>
  <c r="E9" i="5"/>
  <c r="E16" i="1" s="1"/>
  <c r="E25" i="5"/>
  <c r="E32" i="1" s="1"/>
  <c r="E31" i="5"/>
  <c r="E38" i="1" s="1"/>
  <c r="E19" i="5"/>
  <c r="E26" i="1" s="1"/>
  <c r="E33" i="5"/>
  <c r="E40" i="1" s="1"/>
  <c r="E18" i="5"/>
  <c r="E25" i="1" s="1"/>
  <c r="E10" i="5"/>
  <c r="E17" i="1" s="1"/>
  <c r="E20" i="1"/>
  <c r="E15" i="1"/>
  <c r="E43" i="1" l="1" a="1"/>
  <c r="E43" i="1" s="1"/>
  <c r="E42" i="1"/>
  <c r="F9" i="5" l="1"/>
  <c r="F16" i="1" s="1"/>
  <c r="F24" i="5"/>
  <c r="F31" i="1" s="1"/>
  <c r="F22" i="5"/>
  <c r="F29" i="1" s="1"/>
  <c r="F28" i="5"/>
  <c r="F35" i="1" s="1"/>
  <c r="F15" i="5"/>
  <c r="F22" i="1" s="1"/>
  <c r="F33" i="5"/>
  <c r="F40" i="1" s="1"/>
  <c r="F10" i="5"/>
  <c r="F17" i="1" s="1"/>
  <c r="F21" i="5"/>
  <c r="F28" i="1" s="1"/>
  <c r="F8" i="5"/>
  <c r="F15" i="1" s="1"/>
  <c r="F14" i="5"/>
  <c r="F21" i="1" s="1"/>
  <c r="F30" i="5"/>
  <c r="F37" i="1" s="1"/>
  <c r="F32" i="5"/>
  <c r="F39" i="1" s="1"/>
  <c r="F7" i="5"/>
  <c r="F14" i="1" s="1"/>
  <c r="F19" i="5"/>
  <c r="F26" i="1" s="1"/>
  <c r="F26" i="5"/>
  <c r="F33" i="1" s="1"/>
  <c r="F17" i="5"/>
  <c r="F24" i="1" s="1"/>
  <c r="F16" i="5"/>
  <c r="F23" i="1" s="1"/>
  <c r="F11" i="5"/>
  <c r="F18" i="1" s="1"/>
  <c r="F4" i="5"/>
  <c r="F11" i="1" s="1"/>
  <c r="F31" i="5"/>
  <c r="F38" i="1" s="1"/>
  <c r="F6" i="5"/>
  <c r="F13" i="1" s="1"/>
  <c r="F20" i="5"/>
  <c r="F27" i="1" s="1"/>
  <c r="F5" i="5"/>
  <c r="F12" i="1" s="1"/>
  <c r="F13" i="5"/>
  <c r="F20" i="1" s="1"/>
  <c r="F27" i="5"/>
  <c r="F34" i="1" s="1"/>
  <c r="F18" i="5"/>
  <c r="F25" i="1" s="1"/>
  <c r="F23" i="5"/>
  <c r="F30" i="1" s="1"/>
  <c r="F12" i="5"/>
  <c r="F19" i="1" s="1"/>
  <c r="F25" i="5"/>
  <c r="F32" i="1" s="1"/>
  <c r="F29" i="5"/>
  <c r="F36" i="1" s="1"/>
  <c r="F43" i="1" l="1" a="1"/>
  <c r="F43" i="1" s="1"/>
  <c r="F42" i="1"/>
  <c r="G8" i="5" s="1"/>
  <c r="G9" i="5" l="1"/>
  <c r="G16" i="1" s="1"/>
  <c r="G19" i="5"/>
  <c r="G26" i="1" s="1"/>
  <c r="G10" i="5"/>
  <c r="G17" i="1" s="1"/>
  <c r="G28" i="5"/>
  <c r="G35" i="1" s="1"/>
  <c r="G14" i="5"/>
  <c r="G21" i="1" s="1"/>
  <c r="G11" i="5"/>
  <c r="G18" i="1" s="1"/>
  <c r="G15" i="1"/>
  <c r="G32" i="5"/>
  <c r="G39" i="1" s="1"/>
  <c r="G16" i="5"/>
  <c r="G23" i="1" s="1"/>
  <c r="G22" i="5"/>
  <c r="G29" i="1" s="1"/>
  <c r="G25" i="5"/>
  <c r="G32" i="1" s="1"/>
  <c r="G31" i="5"/>
  <c r="G38" i="1" s="1"/>
  <c r="G21" i="5"/>
  <c r="G28" i="1" s="1"/>
  <c r="G12" i="5"/>
  <c r="G19" i="1" s="1"/>
  <c r="G5" i="5"/>
  <c r="G12" i="1" s="1"/>
  <c r="G30" i="5"/>
  <c r="G37" i="1" s="1"/>
  <c r="G17" i="5"/>
  <c r="G24" i="1" s="1"/>
  <c r="G20" i="5"/>
  <c r="G27" i="1" s="1"/>
  <c r="G26" i="5"/>
  <c r="G33" i="1" s="1"/>
  <c r="G6" i="5"/>
  <c r="G13" i="1" s="1"/>
  <c r="G29" i="5"/>
  <c r="G36" i="1" s="1"/>
  <c r="G23" i="5"/>
  <c r="G30" i="1" s="1"/>
  <c r="G18" i="5"/>
  <c r="G25" i="1" s="1"/>
  <c r="G27" i="5"/>
  <c r="G34" i="1" s="1"/>
  <c r="G4" i="5"/>
  <c r="G11" i="1" s="1"/>
  <c r="G15" i="5"/>
  <c r="G22" i="1" s="1"/>
  <c r="G13" i="5"/>
  <c r="G20" i="1" s="1"/>
  <c r="G33" i="5"/>
  <c r="G40" i="1" s="1"/>
  <c r="G7" i="5"/>
  <c r="G14" i="1" s="1"/>
  <c r="G24" i="5"/>
  <c r="G31" i="1" s="1"/>
  <c r="C35" i="5"/>
  <c r="G43" i="1" l="1" a="1"/>
  <c r="G43" i="1" s="1"/>
  <c r="B44" i="1"/>
  <c r="C36" i="5"/>
  <c r="C47" i="1" s="1"/>
  <c r="C46" i="1"/>
  <c r="D35" i="5"/>
  <c r="D36" i="5" l="1"/>
  <c r="D47" i="1" s="1"/>
  <c r="D46" i="1"/>
  <c r="E35" i="5"/>
  <c r="E36" i="5" l="1"/>
  <c r="E47" i="1" s="1"/>
  <c r="E46" i="1"/>
  <c r="F35" i="5"/>
  <c r="G42" i="1"/>
  <c r="F36" i="5" l="1"/>
  <c r="F47" i="1" s="1"/>
  <c r="F46" i="1"/>
  <c r="H14" i="5"/>
  <c r="H19" i="5"/>
  <c r="H26" i="1" s="1"/>
  <c r="H17" i="5"/>
  <c r="H24" i="1" s="1"/>
  <c r="H16" i="5"/>
  <c r="H23" i="1" s="1"/>
  <c r="H21" i="5"/>
  <c r="H28" i="1" s="1"/>
  <c r="H23" i="5"/>
  <c r="H30" i="1" s="1"/>
  <c r="H25" i="5"/>
  <c r="H32" i="1" s="1"/>
  <c r="H27" i="5"/>
  <c r="H34" i="1" s="1"/>
  <c r="H18" i="5"/>
  <c r="H25" i="1" s="1"/>
  <c r="H5" i="5"/>
  <c r="H12" i="1" s="1"/>
  <c r="H28" i="5"/>
  <c r="H35" i="1" s="1"/>
  <c r="H30" i="5"/>
  <c r="H37" i="1" s="1"/>
  <c r="H4" i="5"/>
  <c r="H11" i="1" s="1"/>
  <c r="H8" i="5"/>
  <c r="H15" i="1" s="1"/>
  <c r="H12" i="5"/>
  <c r="H19" i="1" s="1"/>
  <c r="H9" i="5"/>
  <c r="H16" i="1" s="1"/>
  <c r="H11" i="5"/>
  <c r="H18" i="1" s="1"/>
  <c r="H15" i="5"/>
  <c r="H22" i="1" s="1"/>
  <c r="H10" i="5"/>
  <c r="H17" i="1" s="1"/>
  <c r="H32" i="5"/>
  <c r="H39" i="1" s="1"/>
  <c r="H33" i="5"/>
  <c r="H40" i="1" s="1"/>
  <c r="H24" i="5"/>
  <c r="H31" i="1" s="1"/>
  <c r="H13" i="5"/>
  <c r="H20" i="1" s="1"/>
  <c r="H26" i="5"/>
  <c r="H33" i="1" s="1"/>
  <c r="H6" i="5"/>
  <c r="H13" i="1" s="1"/>
  <c r="H29" i="5"/>
  <c r="H36" i="1" s="1"/>
  <c r="H31" i="5"/>
  <c r="H38" i="1" s="1"/>
  <c r="H22" i="5"/>
  <c r="H29" i="1" s="1"/>
  <c r="H20" i="5"/>
  <c r="H27" i="1" s="1"/>
  <c r="H7" i="5"/>
  <c r="H14" i="1" s="1"/>
  <c r="H21" i="1" l="1"/>
  <c r="H42" i="1" s="1"/>
  <c r="G35" i="5"/>
  <c r="H43" i="1" l="1" a="1"/>
  <c r="H43" i="1" s="1"/>
  <c r="C44" i="1"/>
  <c r="G36" i="5"/>
  <c r="G47" i="1" s="1"/>
  <c r="G46" i="1"/>
  <c r="I14" i="5"/>
  <c r="I11" i="5"/>
  <c r="I5" i="5"/>
  <c r="I19" i="5"/>
  <c r="I33" i="5"/>
  <c r="I15" i="5"/>
  <c r="I16" i="5"/>
  <c r="I20" i="5"/>
  <c r="I12" i="5"/>
  <c r="I25" i="5"/>
  <c r="I28" i="5"/>
  <c r="I23" i="5"/>
  <c r="I13" i="5"/>
  <c r="I30" i="5"/>
  <c r="I8" i="5"/>
  <c r="I17" i="5"/>
  <c r="I10" i="5"/>
  <c r="I27" i="5"/>
  <c r="I9" i="5"/>
  <c r="I29" i="5"/>
  <c r="I7" i="5"/>
  <c r="I32" i="5"/>
  <c r="I22" i="5"/>
  <c r="I18" i="5"/>
  <c r="I6" i="5"/>
  <c r="I21" i="5"/>
  <c r="I24" i="5"/>
  <c r="I31" i="5"/>
  <c r="I4" i="5"/>
  <c r="I26" i="5"/>
  <c r="H35" i="5"/>
  <c r="H36" i="5" l="1"/>
  <c r="H47" i="1" s="1"/>
  <c r="H46" i="1"/>
  <c r="I21" i="1"/>
  <c r="I30" i="1"/>
  <c r="I34" i="1"/>
  <c r="I31" i="1"/>
  <c r="I36" i="1"/>
  <c r="I26" i="1"/>
  <c r="I23" i="1"/>
  <c r="I24" i="1"/>
  <c r="I33" i="1"/>
  <c r="I20" i="1"/>
  <c r="I29" i="1"/>
  <c r="I38" i="1"/>
  <c r="I40" i="1"/>
  <c r="I37" i="1"/>
  <c r="I39" i="1"/>
  <c r="I27" i="1"/>
  <c r="I11" i="1"/>
  <c r="I22" i="1"/>
  <c r="I35" i="1"/>
  <c r="I28" i="1"/>
  <c r="I25" i="1"/>
  <c r="I32" i="1"/>
  <c r="I16" i="1"/>
  <c r="I13" i="1"/>
  <c r="I17" i="1"/>
  <c r="I18" i="1"/>
  <c r="I15" i="1"/>
  <c r="I14" i="1"/>
  <c r="I12" i="1"/>
  <c r="I19" i="1"/>
  <c r="I35" i="5"/>
  <c r="I43" i="1" l="1" a="1"/>
  <c r="I43" i="1" s="1"/>
  <c r="D44" i="1"/>
  <c r="J28" i="5"/>
  <c r="I36" i="5"/>
  <c r="I47" i="1" s="1"/>
  <c r="I46" i="1"/>
  <c r="I42" i="1"/>
  <c r="J10" i="5" s="1"/>
  <c r="J16" i="5" l="1"/>
  <c r="J23" i="1" s="1"/>
  <c r="J22" i="5"/>
  <c r="J29" i="1" s="1"/>
  <c r="J7" i="5"/>
  <c r="J14" i="1" s="1"/>
  <c r="J15" i="5"/>
  <c r="J22" i="1" s="1"/>
  <c r="J9" i="5"/>
  <c r="J16" i="1" s="1"/>
  <c r="J27" i="5"/>
  <c r="J34" i="1" s="1"/>
  <c r="J17" i="5"/>
  <c r="J24" i="1" s="1"/>
  <c r="J31" i="5"/>
  <c r="J38" i="1" s="1"/>
  <c r="J19" i="5"/>
  <c r="J26" i="1" s="1"/>
  <c r="J20" i="5"/>
  <c r="J27" i="1" s="1"/>
  <c r="J21" i="5"/>
  <c r="J28" i="1" s="1"/>
  <c r="J24" i="5"/>
  <c r="J31" i="1" s="1"/>
  <c r="J30" i="5"/>
  <c r="J37" i="1" s="1"/>
  <c r="J8" i="5"/>
  <c r="J15" i="1" s="1"/>
  <c r="J14" i="5"/>
  <c r="J21" i="1" s="1"/>
  <c r="J26" i="5"/>
  <c r="J33" i="1" s="1"/>
  <c r="J32" i="5"/>
  <c r="J39" i="1" s="1"/>
  <c r="J25" i="5"/>
  <c r="J32" i="1" s="1"/>
  <c r="J29" i="5"/>
  <c r="J36" i="1" s="1"/>
  <c r="J18" i="5"/>
  <c r="J25" i="1" s="1"/>
  <c r="J6" i="5"/>
  <c r="J13" i="1" s="1"/>
  <c r="J4" i="5"/>
  <c r="J11" i="1" s="1"/>
  <c r="J12" i="5"/>
  <c r="J19" i="1" s="1"/>
  <c r="J23" i="5"/>
  <c r="J30" i="1" s="1"/>
  <c r="J33" i="5"/>
  <c r="J40" i="1" s="1"/>
  <c r="J13" i="5"/>
  <c r="J20" i="1" s="1"/>
  <c r="J11" i="5"/>
  <c r="J18" i="1" s="1"/>
  <c r="J5" i="5"/>
  <c r="J12" i="1" s="1"/>
  <c r="J35" i="1"/>
  <c r="J17" i="1"/>
  <c r="J43" i="1" l="1" a="1"/>
  <c r="J43" i="1" s="1"/>
  <c r="E44" i="1"/>
  <c r="J35" i="5"/>
  <c r="J42" i="1"/>
  <c r="K15" i="5" s="1"/>
  <c r="J36" i="5" l="1"/>
  <c r="J47" i="1" s="1"/>
  <c r="J46" i="1"/>
  <c r="K25" i="5"/>
  <c r="K32" i="1" s="1"/>
  <c r="K26" i="5"/>
  <c r="K8" i="5"/>
  <c r="K15" i="1" s="1"/>
  <c r="K12" i="5"/>
  <c r="K19" i="1" s="1"/>
  <c r="K31" i="5"/>
  <c r="K38" i="1" s="1"/>
  <c r="K18" i="5"/>
  <c r="K25" i="1" s="1"/>
  <c r="K10" i="5"/>
  <c r="K17" i="1" s="1"/>
  <c r="K17" i="5"/>
  <c r="K24" i="1" s="1"/>
  <c r="K9" i="5"/>
  <c r="K16" i="1" s="1"/>
  <c r="K33" i="5"/>
  <c r="K40" i="1" s="1"/>
  <c r="K28" i="5"/>
  <c r="K35" i="1" s="1"/>
  <c r="K32" i="5"/>
  <c r="K39" i="1" s="1"/>
  <c r="K7" i="5"/>
  <c r="K14" i="1" s="1"/>
  <c r="K13" i="5"/>
  <c r="K20" i="1" s="1"/>
  <c r="K24" i="5"/>
  <c r="K31" i="1" s="1"/>
  <c r="K20" i="5"/>
  <c r="K27" i="1" s="1"/>
  <c r="K5" i="5"/>
  <c r="K12" i="1" s="1"/>
  <c r="K6" i="5"/>
  <c r="K13" i="1" s="1"/>
  <c r="K19" i="5"/>
  <c r="K26" i="1" s="1"/>
  <c r="K22" i="5"/>
  <c r="K29" i="1" s="1"/>
  <c r="K23" i="5"/>
  <c r="K30" i="1" s="1"/>
  <c r="K16" i="5"/>
  <c r="K23" i="1" s="1"/>
  <c r="K30" i="5"/>
  <c r="K37" i="1" s="1"/>
  <c r="K27" i="5"/>
  <c r="K34" i="1" s="1"/>
  <c r="K14" i="5"/>
  <c r="K21" i="1" s="1"/>
  <c r="K4" i="5"/>
  <c r="K11" i="1" s="1"/>
  <c r="K29" i="5"/>
  <c r="K36" i="1" s="1"/>
  <c r="K11" i="5"/>
  <c r="K18" i="1" s="1"/>
  <c r="K33" i="1"/>
  <c r="K22" i="1"/>
  <c r="K21" i="5"/>
  <c r="K35" i="5" l="1"/>
  <c r="K46" i="1" s="1"/>
  <c r="K28" i="1"/>
  <c r="K42" i="1" s="1"/>
  <c r="L12" i="5" s="1"/>
  <c r="K43" i="1" l="1" a="1"/>
  <c r="K43" i="1" s="1"/>
  <c r="F44" i="1"/>
  <c r="K36" i="5"/>
  <c r="K47" i="1" s="1"/>
  <c r="L16" i="5"/>
  <c r="L23" i="1" s="1"/>
  <c r="L27" i="5"/>
  <c r="L34" i="1" s="1"/>
  <c r="L25" i="5"/>
  <c r="L32" i="1" s="1"/>
  <c r="L7" i="5"/>
  <c r="L14" i="1" s="1"/>
  <c r="L32" i="5"/>
  <c r="L39" i="1" s="1"/>
  <c r="L21" i="5"/>
  <c r="L28" i="1" s="1"/>
  <c r="L18" i="5"/>
  <c r="L25" i="1" s="1"/>
  <c r="L30" i="5"/>
  <c r="L37" i="1" s="1"/>
  <c r="L6" i="5"/>
  <c r="L13" i="1" s="1"/>
  <c r="L9" i="5"/>
  <c r="L16" i="1" s="1"/>
  <c r="L8" i="5"/>
  <c r="L15" i="1" s="1"/>
  <c r="L31" i="5"/>
  <c r="L38" i="1" s="1"/>
  <c r="L11" i="5"/>
  <c r="L18" i="1" s="1"/>
  <c r="L4" i="5"/>
  <c r="L11" i="1" s="1"/>
  <c r="L33" i="5"/>
  <c r="L40" i="1" s="1"/>
  <c r="L23" i="5"/>
  <c r="L30" i="1" s="1"/>
  <c r="L15" i="5"/>
  <c r="L22" i="1" s="1"/>
  <c r="L20" i="5"/>
  <c r="L27" i="1" s="1"/>
  <c r="L13" i="5"/>
  <c r="L20" i="1" s="1"/>
  <c r="L19" i="5"/>
  <c r="L26" i="1" s="1"/>
  <c r="L22" i="5"/>
  <c r="L29" i="1" s="1"/>
  <c r="L28" i="5"/>
  <c r="L35" i="1" s="1"/>
  <c r="L24" i="5"/>
  <c r="L31" i="1" s="1"/>
  <c r="L5" i="5"/>
  <c r="L12" i="1" s="1"/>
  <c r="L29" i="5"/>
  <c r="L36" i="1" s="1"/>
  <c r="L26" i="5"/>
  <c r="L33" i="1" s="1"/>
  <c r="L17" i="5"/>
  <c r="L24" i="1" s="1"/>
  <c r="L10" i="5"/>
  <c r="L17" i="1" s="1"/>
  <c r="L14" i="5"/>
  <c r="L21" i="1" s="1"/>
  <c r="L19" i="1"/>
  <c r="L43" i="1" l="1" a="1"/>
  <c r="L43" i="1" s="1"/>
  <c r="G44" i="1"/>
  <c r="L42" i="1"/>
  <c r="M30" i="5" s="1"/>
  <c r="N30" i="5" s="1"/>
  <c r="M25" i="5" l="1"/>
  <c r="N25" i="5" s="1"/>
  <c r="M9" i="5"/>
  <c r="N9" i="5" s="1"/>
  <c r="M7" i="5"/>
  <c r="N7" i="5" s="1"/>
  <c r="M31" i="5"/>
  <c r="N31" i="5" s="1"/>
  <c r="M26" i="5"/>
  <c r="N26" i="5" s="1"/>
  <c r="M10" i="5"/>
  <c r="N10" i="5" s="1"/>
  <c r="M14" i="5"/>
  <c r="N14" i="5" s="1"/>
  <c r="M32" i="5"/>
  <c r="N32" i="5" s="1"/>
  <c r="M28" i="5"/>
  <c r="N28" i="5" s="1"/>
  <c r="M33" i="5"/>
  <c r="N33" i="5" s="1"/>
  <c r="M18" i="5"/>
  <c r="N18" i="5" s="1"/>
  <c r="M6" i="5"/>
  <c r="N6" i="5" s="1"/>
  <c r="M20" i="5"/>
  <c r="N20" i="5" s="1"/>
  <c r="M4" i="5"/>
  <c r="N4" i="5" s="1"/>
  <c r="M12" i="5"/>
  <c r="N12" i="5" s="1"/>
  <c r="M11" i="5"/>
  <c r="N11" i="5" s="1"/>
  <c r="M8" i="5"/>
  <c r="N8" i="5" s="1"/>
  <c r="M15" i="5"/>
  <c r="N15" i="5" s="1"/>
  <c r="M21" i="5"/>
  <c r="N21" i="5" s="1"/>
  <c r="M27" i="5"/>
  <c r="N27" i="5" s="1"/>
  <c r="M13" i="5"/>
  <c r="N13" i="5" s="1"/>
  <c r="M24" i="5"/>
  <c r="N24" i="5" s="1"/>
  <c r="M19" i="5"/>
  <c r="N19" i="5" s="1"/>
  <c r="M5" i="5"/>
  <c r="N5" i="5" s="1"/>
  <c r="M23" i="5"/>
  <c r="N23" i="5" s="1"/>
  <c r="M22" i="5"/>
  <c r="N22" i="5" s="1"/>
  <c r="M17" i="5"/>
  <c r="N17" i="5" s="1"/>
  <c r="M29" i="5"/>
  <c r="N29" i="5" s="1"/>
  <c r="M16" i="5"/>
  <c r="N16" i="5" s="1"/>
  <c r="M37" i="1"/>
  <c r="M27" i="1"/>
  <c r="M16" i="1"/>
  <c r="L35" i="5"/>
  <c r="M32" i="1" l="1"/>
  <c r="M36" i="1"/>
  <c r="M28" i="1"/>
  <c r="M13" i="1"/>
  <c r="M34" i="1"/>
  <c r="M33" i="1"/>
  <c r="M24" i="1"/>
  <c r="M14" i="1"/>
  <c r="M25" i="1"/>
  <c r="M12" i="1"/>
  <c r="M17" i="1"/>
  <c r="M20" i="1"/>
  <c r="M39" i="1"/>
  <c r="M35" i="1"/>
  <c r="M22" i="1"/>
  <c r="M18" i="1"/>
  <c r="M30" i="1"/>
  <c r="M21" i="1"/>
  <c r="M26" i="1"/>
  <c r="M31" i="1"/>
  <c r="M19" i="1"/>
  <c r="M11" i="1"/>
  <c r="M15" i="1"/>
  <c r="M40" i="1"/>
  <c r="M29" i="1"/>
  <c r="M35" i="5"/>
  <c r="M46" i="1" s="1"/>
  <c r="M38" i="1"/>
  <c r="M23" i="1"/>
  <c r="L36" i="5"/>
  <c r="L47" i="1" s="1"/>
  <c r="L46" i="1"/>
  <c r="N35" i="5"/>
  <c r="M43" i="1" l="1" a="1"/>
  <c r="M43" i="1" s="1"/>
  <c r="H44" i="1"/>
  <c r="M36" i="5"/>
  <c r="M47" i="1" s="1"/>
  <c r="M42" i="1"/>
  <c r="N26" i="1" s="1"/>
  <c r="N36" i="5"/>
  <c r="N47" i="1" s="1"/>
  <c r="N46" i="1"/>
  <c r="N18" i="1" l="1"/>
  <c r="N37" i="1"/>
  <c r="N12" i="1"/>
  <c r="N20" i="1"/>
  <c r="N16" i="1"/>
  <c r="N30" i="1"/>
  <c r="N21" i="1"/>
  <c r="N33" i="1"/>
  <c r="N19" i="1"/>
  <c r="N31" i="1"/>
  <c r="N22" i="1"/>
  <c r="N15" i="1"/>
  <c r="N13" i="1"/>
  <c r="N35" i="1"/>
  <c r="N32" i="1"/>
  <c r="N14" i="1"/>
  <c r="N27" i="1"/>
  <c r="N34" i="1"/>
  <c r="N36" i="1"/>
  <c r="N28" i="1"/>
  <c r="N25" i="1"/>
  <c r="N23" i="1"/>
  <c r="N29" i="1"/>
  <c r="N38" i="1"/>
  <c r="N17" i="1"/>
  <c r="N39" i="1"/>
  <c r="N24" i="1"/>
  <c r="N40" i="1"/>
  <c r="N11" i="1"/>
  <c r="N43" i="1" l="1" a="1"/>
  <c r="N43" i="1" s="1"/>
  <c r="I44" i="1"/>
  <c r="N42" i="1"/>
  <c r="O7" i="5" s="1"/>
  <c r="P7" i="5" s="1"/>
  <c r="Q7" i="5" s="1"/>
  <c r="O21" i="5"/>
  <c r="P21" i="5" s="1"/>
  <c r="O5" i="5"/>
  <c r="P5" i="5" s="1"/>
  <c r="O28" i="5"/>
  <c r="P28" i="5" s="1"/>
  <c r="O20" i="5"/>
  <c r="P20" i="5" s="1"/>
  <c r="O32" i="5"/>
  <c r="P32" i="5" s="1"/>
  <c r="O10" i="5"/>
  <c r="P10" i="5" s="1"/>
  <c r="O31" i="5"/>
  <c r="P31" i="5" s="1"/>
  <c r="O12" i="5"/>
  <c r="P12" i="5" s="1"/>
  <c r="O22" i="5"/>
  <c r="P22" i="5" s="1"/>
  <c r="O9" i="5"/>
  <c r="P9" i="5" s="1"/>
  <c r="O8" i="5" l="1"/>
  <c r="P8" i="5" s="1"/>
  <c r="O11" i="5"/>
  <c r="P11" i="5" s="1"/>
  <c r="O25" i="5"/>
  <c r="P25" i="5" s="1"/>
  <c r="O15" i="5"/>
  <c r="P15" i="5" s="1"/>
  <c r="O13" i="5"/>
  <c r="P13" i="5" s="1"/>
  <c r="O6" i="5"/>
  <c r="P6" i="5" s="1"/>
  <c r="O26" i="5"/>
  <c r="P26" i="5" s="1"/>
  <c r="O18" i="5"/>
  <c r="P18" i="5" s="1"/>
  <c r="O27" i="5"/>
  <c r="P27" i="5" s="1"/>
  <c r="O30" i="5"/>
  <c r="P30" i="5" s="1"/>
  <c r="O14" i="5"/>
  <c r="O33" i="5"/>
  <c r="P33" i="5" s="1"/>
  <c r="O4" i="5"/>
  <c r="O11" i="1" s="1"/>
  <c r="O16" i="5"/>
  <c r="P16" i="5" s="1"/>
  <c r="O23" i="5"/>
  <c r="P23" i="5" s="1"/>
  <c r="O29" i="5"/>
  <c r="P29" i="5" s="1"/>
  <c r="O19" i="5"/>
  <c r="P19" i="5" s="1"/>
  <c r="O17" i="5"/>
  <c r="O24" i="5"/>
  <c r="P24" i="5" s="1"/>
  <c r="O28" i="1"/>
  <c r="O18" i="1"/>
  <c r="O25" i="1"/>
  <c r="O14" i="1"/>
  <c r="O12" i="1"/>
  <c r="O15" i="1"/>
  <c r="O35" i="1"/>
  <c r="O19" i="1"/>
  <c r="O37" i="1"/>
  <c r="O29" i="1"/>
  <c r="O13" i="1"/>
  <c r="O17" i="1"/>
  <c r="O39" i="1"/>
  <c r="O27" i="1"/>
  <c r="O38" i="1"/>
  <c r="O16" i="1"/>
  <c r="O20" i="1"/>
  <c r="O34" i="1" l="1"/>
  <c r="O33" i="1"/>
  <c r="O22" i="1"/>
  <c r="O32" i="1"/>
  <c r="P14" i="5"/>
  <c r="O21" i="1"/>
  <c r="O40" i="1"/>
  <c r="O30" i="1"/>
  <c r="O26" i="1"/>
  <c r="O36" i="1"/>
  <c r="P4" i="5"/>
  <c r="O23" i="1"/>
  <c r="J44" i="1" s="1"/>
  <c r="O35" i="5"/>
  <c r="O36" i="5" s="1"/>
  <c r="O47" i="1" s="1"/>
  <c r="O31" i="1"/>
  <c r="P17" i="5"/>
  <c r="Q17" i="5" s="1"/>
  <c r="O24" i="1"/>
  <c r="O43" i="1" l="1" a="1"/>
  <c r="O43" i="1" s="1"/>
  <c r="O46" i="1"/>
  <c r="P35" i="5"/>
  <c r="P46" i="1" s="1"/>
  <c r="O42" i="1"/>
  <c r="P36" i="1" s="1"/>
  <c r="P21" i="1" l="1"/>
  <c r="P39" i="1"/>
  <c r="P16" i="1"/>
  <c r="P15" i="1"/>
  <c r="P17" i="1"/>
  <c r="P36" i="5"/>
  <c r="P47" i="1" s="1"/>
  <c r="P12" i="1"/>
  <c r="P13" i="1"/>
  <c r="P38" i="1"/>
  <c r="P11" i="1"/>
  <c r="P20" i="1"/>
  <c r="P18" i="1"/>
  <c r="P22" i="1"/>
  <c r="P23" i="1"/>
  <c r="P34" i="1"/>
  <c r="P25" i="1"/>
  <c r="P37" i="1"/>
  <c r="P19" i="1"/>
  <c r="P14" i="1"/>
  <c r="P32" i="1"/>
  <c r="P30" i="1"/>
  <c r="P26" i="1"/>
  <c r="P28" i="1"/>
  <c r="P29" i="1"/>
  <c r="P27" i="1"/>
  <c r="P31" i="1"/>
  <c r="P33" i="1"/>
  <c r="P40" i="1"/>
  <c r="P35" i="1"/>
  <c r="P24" i="1"/>
  <c r="P43" i="1" l="1" a="1"/>
  <c r="P43" i="1" s="1"/>
  <c r="K44" i="1"/>
  <c r="P42" i="1"/>
  <c r="Q13" i="5" s="1"/>
  <c r="Q8" i="5"/>
  <c r="Q28" i="5"/>
  <c r="Q15" i="5"/>
  <c r="Q31" i="5"/>
  <c r="Q5" i="5"/>
  <c r="Q23" i="5"/>
  <c r="Q10" i="5"/>
  <c r="Q26" i="5"/>
  <c r="Q32" i="5"/>
  <c r="Q30" i="5"/>
  <c r="Q25" i="5"/>
  <c r="Q21" i="5"/>
  <c r="Q12" i="5"/>
  <c r="Q22" i="5"/>
  <c r="Q20" i="5"/>
  <c r="Q33" i="5"/>
  <c r="Q19" i="5"/>
  <c r="Q6" i="5"/>
  <c r="Q9" i="5"/>
  <c r="Q18" i="5"/>
  <c r="Q29" i="5"/>
  <c r="Q24" i="5"/>
  <c r="Q11" i="5"/>
  <c r="Q4" i="5"/>
  <c r="Q16" i="5"/>
  <c r="Q27" i="5"/>
  <c r="Q14" i="5"/>
  <c r="Q19" i="1" l="1"/>
  <c r="Q12" i="1"/>
  <c r="Q34" i="1"/>
  <c r="Q25" i="1"/>
  <c r="Q28" i="1"/>
  <c r="Q38" i="1"/>
  <c r="Q32" i="1"/>
  <c r="Q22" i="1"/>
  <c r="Q33" i="1"/>
  <c r="Q36" i="1"/>
  <c r="Q24" i="1"/>
  <c r="Q20" i="1"/>
  <c r="Q37" i="1"/>
  <c r="Q35" i="1"/>
  <c r="Q40" i="1"/>
  <c r="Q16" i="1"/>
  <c r="Q13" i="1"/>
  <c r="Q23" i="1"/>
  <c r="Q26" i="1"/>
  <c r="Q39" i="1"/>
  <c r="Q21" i="1"/>
  <c r="Q31" i="1"/>
  <c r="Q29" i="1"/>
  <c r="Q30" i="1"/>
  <c r="Q15" i="1"/>
  <c r="Q18" i="1"/>
  <c r="Q27" i="1"/>
  <c r="Q17" i="1"/>
  <c r="Q14" i="1"/>
  <c r="Q35" i="5"/>
  <c r="Q11" i="1"/>
  <c r="L44" i="1" l="1"/>
  <c r="Q43" i="1" a="1"/>
  <c r="Q43" i="1" s="1"/>
  <c r="Q42" i="1"/>
  <c r="Q46" i="1"/>
  <c r="Q36" i="5"/>
  <c r="Q47" i="1" s="1"/>
  <c r="R6" i="5" l="1"/>
  <c r="R22" i="5"/>
  <c r="R29" i="1" s="1"/>
  <c r="R4" i="5"/>
  <c r="R11" i="1" s="1"/>
  <c r="R25" i="5"/>
  <c r="R32" i="1" s="1"/>
  <c r="R17" i="5"/>
  <c r="S17" i="5" s="1"/>
  <c r="T17" i="5" s="1"/>
  <c r="R26" i="5"/>
  <c r="R20" i="5"/>
  <c r="R27" i="1" s="1"/>
  <c r="R31" i="5"/>
  <c r="R38" i="1" s="1"/>
  <c r="R32" i="5"/>
  <c r="R39" i="1" s="1"/>
  <c r="R18" i="5"/>
  <c r="R25" i="1" s="1"/>
  <c r="R7" i="5"/>
  <c r="R14" i="1" s="1"/>
  <c r="R16" i="5"/>
  <c r="R23" i="1" s="1"/>
  <c r="R11" i="5"/>
  <c r="R21" i="5"/>
  <c r="R10" i="5"/>
  <c r="R17" i="1" s="1"/>
  <c r="R5" i="5"/>
  <c r="R33" i="5"/>
  <c r="R30" i="5"/>
  <c r="R28" i="5"/>
  <c r="R23" i="5"/>
  <c r="R27" i="5"/>
  <c r="R34" i="1" s="1"/>
  <c r="R12" i="5"/>
  <c r="R9" i="5"/>
  <c r="R8" i="5"/>
  <c r="R13" i="5"/>
  <c r="R19" i="5"/>
  <c r="R15" i="5"/>
  <c r="R14" i="5"/>
  <c r="R24" i="5"/>
  <c r="R31" i="1" s="1"/>
  <c r="R29" i="5"/>
  <c r="R36" i="1" s="1"/>
  <c r="R24" i="1" l="1"/>
  <c r="R33" i="1"/>
  <c r="R13" i="1"/>
  <c r="R15" i="1"/>
  <c r="R30" i="1"/>
  <c r="R22" i="1"/>
  <c r="R35" i="1"/>
  <c r="R40" i="1"/>
  <c r="R26" i="1"/>
  <c r="R20" i="1"/>
  <c r="R12" i="1"/>
  <c r="R21" i="1"/>
  <c r="R16" i="1"/>
  <c r="R37" i="1"/>
  <c r="R19" i="1"/>
  <c r="R28" i="1"/>
  <c r="R18" i="1"/>
  <c r="R35" i="5"/>
  <c r="R43" i="1" l="1" a="1"/>
  <c r="R43" i="1" s="1"/>
  <c r="M44" i="1"/>
  <c r="R42" i="1"/>
  <c r="S14" i="5" s="1"/>
  <c r="T14" i="5" s="1"/>
  <c r="R36" i="5"/>
  <c r="R47" i="1" s="1"/>
  <c r="R46" i="1"/>
  <c r="S12" i="5" l="1"/>
  <c r="T12" i="5" s="1"/>
  <c r="S26" i="5"/>
  <c r="T26" i="5" s="1"/>
  <c r="S6" i="5"/>
  <c r="T6" i="5" s="1"/>
  <c r="S8" i="5"/>
  <c r="T8" i="5" s="1"/>
  <c r="S30" i="5"/>
  <c r="T30" i="5" s="1"/>
  <c r="S20" i="5"/>
  <c r="T20" i="5" s="1"/>
  <c r="S32" i="5"/>
  <c r="T32" i="5" s="1"/>
  <c r="S7" i="5"/>
  <c r="T7" i="5" s="1"/>
  <c r="S4" i="5"/>
  <c r="S11" i="1" s="1"/>
  <c r="S16" i="5"/>
  <c r="T16" i="5" s="1"/>
  <c r="S22" i="5"/>
  <c r="T22" i="5" s="1"/>
  <c r="S10" i="5"/>
  <c r="T10" i="5" s="1"/>
  <c r="S27" i="5"/>
  <c r="T27" i="5" s="1"/>
  <c r="S29" i="5"/>
  <c r="T29" i="5" s="1"/>
  <c r="S31" i="5"/>
  <c r="T31" i="5" s="1"/>
  <c r="S18" i="5"/>
  <c r="T18" i="5" s="1"/>
  <c r="S13" i="5"/>
  <c r="T13" i="5" s="1"/>
  <c r="S5" i="5"/>
  <c r="T5" i="5" s="1"/>
  <c r="S25" i="5"/>
  <c r="T25" i="5" s="1"/>
  <c r="S28" i="5"/>
  <c r="T28" i="5" s="1"/>
  <c r="S15" i="5"/>
  <c r="T15" i="5" s="1"/>
  <c r="S24" i="5"/>
  <c r="T24" i="5" s="1"/>
  <c r="S9" i="5"/>
  <c r="T9" i="5" s="1"/>
  <c r="S33" i="5"/>
  <c r="T33" i="5" s="1"/>
  <c r="S23" i="5"/>
  <c r="T23" i="5" s="1"/>
  <c r="S21" i="5"/>
  <c r="T21" i="5" s="1"/>
  <c r="S11" i="5"/>
  <c r="T11" i="5" s="1"/>
  <c r="S19" i="5"/>
  <c r="T19" i="5" s="1"/>
  <c r="S33" i="1"/>
  <c r="S24" i="1"/>
  <c r="S15" i="1"/>
  <c r="R44" i="1"/>
  <c r="S19" i="1"/>
  <c r="S21" i="1"/>
  <c r="S13" i="1" l="1"/>
  <c r="S14" i="1"/>
  <c r="S39" i="1"/>
  <c r="S37" i="1"/>
  <c r="S30" i="1"/>
  <c r="S27" i="1"/>
  <c r="S36" i="1"/>
  <c r="S31" i="1"/>
  <c r="S16" i="1"/>
  <c r="S25" i="1"/>
  <c r="S23" i="1"/>
  <c r="S28" i="1"/>
  <c r="S34" i="1"/>
  <c r="S12" i="1"/>
  <c r="S38" i="1"/>
  <c r="S29" i="1"/>
  <c r="S22" i="1"/>
  <c r="S32" i="1"/>
  <c r="S26" i="1"/>
  <c r="T4" i="5"/>
  <c r="T35" i="5" s="1"/>
  <c r="S35" i="5"/>
  <c r="S35" i="1"/>
  <c r="S17" i="1"/>
  <c r="S20" i="1"/>
  <c r="S18" i="1"/>
  <c r="S40" i="1"/>
  <c r="S43" i="1" l="1" a="1"/>
  <c r="S43" i="1" s="1"/>
  <c r="N44" i="1"/>
  <c r="T36" i="5"/>
  <c r="T47" i="1" s="1"/>
  <c r="T46" i="1"/>
  <c r="S42" i="1"/>
  <c r="S46" i="1"/>
  <c r="S36" i="5"/>
  <c r="S47" i="1" s="1"/>
  <c r="T34" i="1" l="1"/>
  <c r="T33" i="1"/>
  <c r="T37" i="1"/>
  <c r="T28" i="1"/>
  <c r="T27" i="1"/>
  <c r="T15" i="1"/>
  <c r="T31" i="1"/>
  <c r="T13" i="1"/>
  <c r="T29" i="1"/>
  <c r="T11" i="1"/>
  <c r="T12" i="1"/>
  <c r="T30" i="1"/>
  <c r="T20" i="1"/>
  <c r="T21" i="1"/>
  <c r="T19" i="1"/>
  <c r="T38" i="1"/>
  <c r="S44" i="1"/>
  <c r="T16" i="1"/>
  <c r="T22" i="1"/>
  <c r="T32" i="1"/>
  <c r="T23" i="1"/>
  <c r="T36" i="1"/>
  <c r="T26" i="1"/>
  <c r="T25" i="1"/>
  <c r="T14" i="1"/>
  <c r="T39" i="1"/>
  <c r="T24" i="1"/>
  <c r="T40" i="1"/>
  <c r="T35" i="1"/>
  <c r="T17" i="1"/>
  <c r="T18" i="1"/>
  <c r="T43" i="1" l="1" a="1"/>
  <c r="T43" i="1" s="1"/>
  <c r="O44" i="1"/>
  <c r="T42" i="1"/>
  <c r="U11" i="5" s="1"/>
  <c r="V11" i="5" s="1"/>
  <c r="U27" i="5" l="1"/>
  <c r="V27" i="5" s="1"/>
  <c r="U22" i="5"/>
  <c r="V22" i="5" s="1"/>
  <c r="U6" i="5"/>
  <c r="V6" i="5" s="1"/>
  <c r="U15" i="5"/>
  <c r="V15" i="5" s="1"/>
  <c r="U26" i="5"/>
  <c r="V26" i="5" s="1"/>
  <c r="U4" i="5"/>
  <c r="V4" i="5" s="1"/>
  <c r="U8" i="5"/>
  <c r="V8" i="5" s="1"/>
  <c r="U23" i="5"/>
  <c r="V23" i="5" s="1"/>
  <c r="U7" i="5"/>
  <c r="V7" i="5" s="1"/>
  <c r="U33" i="5"/>
  <c r="V33" i="5" s="1"/>
  <c r="U25" i="5"/>
  <c r="V25" i="5" s="1"/>
  <c r="U16" i="5"/>
  <c r="V16" i="5" s="1"/>
  <c r="U18" i="5"/>
  <c r="V18" i="5" s="1"/>
  <c r="U10" i="5"/>
  <c r="V10" i="5" s="1"/>
  <c r="U5" i="5"/>
  <c r="V5" i="5" s="1"/>
  <c r="U14" i="5"/>
  <c r="V14" i="5" s="1"/>
  <c r="U19" i="5"/>
  <c r="V19" i="5" s="1"/>
  <c r="U12" i="5"/>
  <c r="V12" i="5" s="1"/>
  <c r="U20" i="5"/>
  <c r="V20" i="5" s="1"/>
  <c r="U21" i="5"/>
  <c r="V21" i="5" s="1"/>
  <c r="U9" i="5"/>
  <c r="V9" i="5" s="1"/>
  <c r="U24" i="5"/>
  <c r="V24" i="5" s="1"/>
  <c r="U32" i="5"/>
  <c r="V32" i="5" s="1"/>
  <c r="U17" i="5"/>
  <c r="V17" i="5" s="1"/>
  <c r="U13" i="5"/>
  <c r="V13" i="5" s="1"/>
  <c r="U30" i="5"/>
  <c r="V30" i="5" s="1"/>
  <c r="U28" i="5"/>
  <c r="V28" i="5" s="1"/>
  <c r="U29" i="5"/>
  <c r="V29" i="5" s="1"/>
  <c r="U18" i="1"/>
  <c r="U31" i="5"/>
  <c r="U38" i="1" s="1"/>
  <c r="T44" i="1"/>
  <c r="U14" i="1"/>
  <c r="U40" i="1" l="1"/>
  <c r="U22" i="1"/>
  <c r="U27" i="1"/>
  <c r="U33" i="1"/>
  <c r="U16" i="1"/>
  <c r="U23" i="1"/>
  <c r="U19" i="1"/>
  <c r="U34" i="1"/>
  <c r="U26" i="1"/>
  <c r="U20" i="1"/>
  <c r="U35" i="1"/>
  <c r="U29" i="1"/>
  <c r="U37" i="1"/>
  <c r="U13" i="1"/>
  <c r="U32" i="1"/>
  <c r="U15" i="1"/>
  <c r="U39" i="1"/>
  <c r="U30" i="1"/>
  <c r="U21" i="1"/>
  <c r="U24" i="1"/>
  <c r="U31" i="1"/>
  <c r="U12" i="1"/>
  <c r="U28" i="1"/>
  <c r="U25" i="1"/>
  <c r="U36" i="1"/>
  <c r="U11" i="1"/>
  <c r="U17" i="1"/>
  <c r="V31" i="5"/>
  <c r="V35" i="5" s="1"/>
  <c r="U35" i="5"/>
  <c r="U43" i="1" l="1" a="1"/>
  <c r="U43" i="1" s="1"/>
  <c r="P44" i="1"/>
  <c r="U42" i="1"/>
  <c r="V27" i="1" s="1"/>
  <c r="U36" i="5"/>
  <c r="U47" i="1" s="1"/>
  <c r="U46" i="1"/>
  <c r="V36" i="5"/>
  <c r="V47" i="1" s="1"/>
  <c r="V46" i="1"/>
  <c r="V12" i="1" l="1"/>
  <c r="V11" i="1"/>
  <c r="V21" i="1"/>
  <c r="V22" i="1"/>
  <c r="V23" i="1"/>
  <c r="U44" i="1"/>
  <c r="V24" i="1"/>
  <c r="V16" i="1"/>
  <c r="V40" i="1"/>
  <c r="V33" i="1"/>
  <c r="V14" i="1"/>
  <c r="V20" i="1"/>
  <c r="V32" i="1"/>
  <c r="V31" i="1"/>
  <c r="V39" i="1"/>
  <c r="V28" i="1"/>
  <c r="V30" i="1"/>
  <c r="V35" i="1"/>
  <c r="V19" i="1"/>
  <c r="V36" i="1"/>
  <c r="V26" i="1"/>
  <c r="V29" i="1"/>
  <c r="V25" i="1"/>
  <c r="V13" i="1"/>
  <c r="V34" i="1"/>
  <c r="V15" i="1"/>
  <c r="V18" i="1"/>
  <c r="V17" i="1"/>
  <c r="V37" i="1"/>
  <c r="V38" i="1"/>
  <c r="V43" i="1" l="1" a="1"/>
  <c r="V43" i="1" s="1"/>
  <c r="Q44" i="1"/>
  <c r="V42" i="1"/>
  <c r="V4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<sst xmlns="http://schemas.openxmlformats.org/spreadsheetml/2006/main" count="25" uniqueCount="15">
  <si>
    <t>Firmas</t>
  </si>
  <si>
    <t>Max</t>
  </si>
  <si>
    <t>Min</t>
  </si>
  <si>
    <t>Probabilidad Infectadas</t>
  </si>
  <si>
    <t>Probabilidad Imitación</t>
  </si>
  <si>
    <t>N° Infectadas</t>
  </si>
  <si>
    <t>Porcentaje</t>
  </si>
  <si>
    <t>N° Imitadoras</t>
  </si>
  <si>
    <t>Duración ciclo de reinfección</t>
  </si>
  <si>
    <t>Número de periodos necesarios para que el</t>
  </si>
  <si>
    <t>% tenga la mejor tecnología =</t>
  </si>
  <si>
    <t>Comienzo ciclo</t>
  </si>
  <si>
    <t>t</t>
  </si>
  <si>
    <t>Dif</t>
  </si>
  <si>
    <t>Vivas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</si>
</sst>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 applyAlignment="1">
      <alignment horizontal="center"/>
    </xf>
    <xf numFmtId="2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/>
    <xf numFmtId="9" fontId="0" fillId="0" borderId="0" xfId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" fontId="2" fillId="0" borderId="0" xfId="0" applyNumberFormat="1" applyFont="1"/>
    <xf numFmtId="9" fontId="2" fillId="0" borderId="0" xfId="1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Trayectorias de las Firmas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Firma 1</c:v>
          </c:tx>
          <c:marker>
            <c:symbol val="none"/>
          </c:marker>
          <c:cat>
            <c:numLit>
              <c:formatCode>General</c:formatCode>
              <c:ptCount val="5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</c:num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5-6B15-4B8B-9A38-00416D7A561B}"/>
            </c:ext>
          </c:extLst>
        </c:ser>
        <c:ser>
          <c:idx val="1"/>
          <c:order val="1"/>
          <c:tx>
            <c:v>Firma 2</c:v>
          </c:tx>
          <c:marker>
            <c:symbol val="none"/>
          </c:marker>
          <c:cat>
            <c:numLit>
              <c:formatCode>General</c:formatCode>
              <c:ptCount val="13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</c:numLit>
          </c:cat>
          <c:val>
            <c:numLit>
              <c:formatCode>General</c:formatCode>
              <c:ptCount val="13"/>
              <c:pt idx="0">
                <c:v>10</c:v>
              </c:pt>
              <c:pt idx="1">
                <c:v>9.9909265213501275</c:v>
              </c:pt>
              <c:pt idx="2">
                <c:v>9.9909265213501275</c:v>
              </c:pt>
              <c:pt idx="3">
                <c:v>10.594335812467104</c:v>
              </c:pt>
              <c:pt idx="4">
                <c:v>10.594335812467104</c:v>
              </c:pt>
              <c:pt idx="5">
                <c:v>11.353482542217469</c:v>
              </c:pt>
              <c:pt idx="6">
                <c:v>11.353482542217469</c:v>
              </c:pt>
              <c:pt idx="7">
                <c:v>11.353482542217469</c:v>
              </c:pt>
              <c:pt idx="8">
                <c:v>11.818749442435394</c:v>
              </c:pt>
              <c:pt idx="9">
                <c:v>11.396048595324318</c:v>
              </c:pt>
              <c:pt idx="10">
                <c:v>11.396048595324318</c:v>
              </c:pt>
              <c:pt idx="11">
                <c:v>11.396048595324318</c:v>
              </c:pt>
              <c:pt idx="12">
                <c:v>11.396048595324318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6-6B15-4B8B-9A38-00416D7A561B}"/>
            </c:ext>
          </c:extLst>
        </c:ser>
        <c:ser>
          <c:idx val="2"/>
          <c:order val="2"/>
          <c:tx>
            <c:v>Firma 3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</c:numLit>
          </c:cat>
          <c:val>
            <c:numLit>
              <c:formatCode>General</c:formatCode>
              <c:ptCount val="9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10.594335812467104</c:v>
              </c:pt>
              <c:pt idx="8">
                <c:v>10.594335812467104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7-6B15-4B8B-9A38-00416D7A561B}"/>
            </c:ext>
          </c:extLst>
        </c:ser>
        <c:ser>
          <c:idx val="3"/>
          <c:order val="3"/>
          <c:tx>
            <c:v>Firma 4</c:v>
          </c:tx>
          <c:marker>
            <c:symbol val="none"/>
          </c:marker>
          <c:cat>
            <c:numLit>
              <c:formatCode>General</c:formatCode>
              <c:ptCount val="5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</c:num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10.382507573861107</c:v>
              </c:pt>
              <c:pt idx="2">
                <c:v>10.382507573861107</c:v>
              </c:pt>
              <c:pt idx="3">
                <c:v>10.382507573861107</c:v>
              </c:pt>
              <c:pt idx="4">
                <c:v>10.382507573861107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8-6B15-4B8B-9A38-00416D7A561B}"/>
            </c:ext>
          </c:extLst>
        </c:ser>
        <c:ser>
          <c:idx val="4"/>
          <c:order val="4"/>
          <c:tx>
            <c:v>Firma 5</c:v>
          </c:tx>
          <c:marker>
            <c:symbol val="none"/>
          </c:marker>
          <c:cat>
            <c:numLit>
              <c:formatCode>General</c:formatCode>
              <c:ptCount val="13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</c:numLit>
          </c:cat>
          <c:val>
            <c:numLit>
              <c:formatCode>General</c:formatCode>
              <c:ptCount val="13"/>
              <c:pt idx="0">
                <c:v>10</c:v>
              </c:pt>
              <c:pt idx="1">
                <c:v>10.086340456606379</c:v>
              </c:pt>
              <c:pt idx="2">
                <c:v>10.086340456606379</c:v>
              </c:pt>
              <c:pt idx="3">
                <c:v>10.086340456606379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10.594335812467104</c:v>
              </c:pt>
              <c:pt idx="8">
                <c:v>11.818749442435394</c:v>
              </c:pt>
              <c:pt idx="9">
                <c:v>12.012646693916546</c:v>
              </c:pt>
              <c:pt idx="10">
                <c:v>12.012646693916546</c:v>
              </c:pt>
              <c:pt idx="11">
                <c:v>12.012646693916546</c:v>
              </c:pt>
              <c:pt idx="12">
                <c:v>12.012646693916546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9-6B15-4B8B-9A38-00416D7A561B}"/>
            </c:ext>
          </c:extLst>
        </c:ser>
        <c:ser>
          <c:idx val="5"/>
          <c:order val="5"/>
          <c:tx>
            <c:v>Firma 6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</c:numLit>
          </c:cat>
          <c:val>
            <c:numLit>
              <c:formatCode>General</c:formatCode>
              <c:ptCount val="21"/>
              <c:pt idx="0">
                <c:v>10</c:v>
              </c:pt>
              <c:pt idx="1">
                <c:v>10.109479320232248</c:v>
              </c:pt>
              <c:pt idx="2">
                <c:v>10.594335812467104</c:v>
              </c:pt>
              <c:pt idx="3">
                <c:v>10.594335812467104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11.818749442435394</c:v>
              </c:pt>
              <c:pt idx="8">
                <c:v>11.818749442435394</c:v>
              </c:pt>
              <c:pt idx="9">
                <c:v>11.818749442435394</c:v>
              </c:pt>
              <c:pt idx="10">
                <c:v>11.818749442435394</c:v>
              </c:pt>
              <c:pt idx="11">
                <c:v>11.818749442435394</c:v>
              </c:pt>
              <c:pt idx="12">
                <c:v>12.694512944910093</c:v>
              </c:pt>
              <c:pt idx="13">
                <c:v>12.563688559886579</c:v>
              </c:pt>
              <c:pt idx="14">
                <c:v>13.037875872753451</c:v>
              </c:pt>
              <c:pt idx="15">
                <c:v>13.037875872753451</c:v>
              </c:pt>
              <c:pt idx="16">
                <c:v>13.037875872753451</c:v>
              </c:pt>
              <c:pt idx="17">
                <c:v>13.037875872753451</c:v>
              </c:pt>
              <c:pt idx="18">
                <c:v>14.637176483585376</c:v>
              </c:pt>
              <c:pt idx="19">
                <c:v>14.637176483585376</c:v>
              </c:pt>
              <c:pt idx="20">
                <c:v>14.637176483585376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A-6B15-4B8B-9A38-00416D7A561B}"/>
            </c:ext>
          </c:extLst>
        </c:ser>
        <c:ser>
          <c:idx val="6"/>
          <c:order val="6"/>
          <c:tx>
            <c:v>Firma 7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</c:numLit>
          </c:cat>
          <c:val>
            <c:numLit>
              <c:formatCode>General</c:formatCode>
              <c:ptCount val="21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10.594335812467104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11.818749442435394</c:v>
              </c:pt>
              <c:pt idx="8">
                <c:v>11.818749442435394</c:v>
              </c:pt>
              <c:pt idx="9">
                <c:v>11.707157541853276</c:v>
              </c:pt>
              <c:pt idx="10">
                <c:v>12.694512944910093</c:v>
              </c:pt>
              <c:pt idx="11">
                <c:v>12.694512944910093</c:v>
              </c:pt>
              <c:pt idx="12">
                <c:v>12.694512944910093</c:v>
              </c:pt>
              <c:pt idx="13">
                <c:v>12.694512944910093</c:v>
              </c:pt>
              <c:pt idx="14">
                <c:v>13.037875872753451</c:v>
              </c:pt>
              <c:pt idx="15">
                <c:v>13.037875872753451</c:v>
              </c:pt>
              <c:pt idx="16">
                <c:v>13.037875872753451</c:v>
              </c:pt>
              <c:pt idx="17">
                <c:v>14.637176483585376</c:v>
              </c:pt>
              <c:pt idx="18">
                <c:v>14.637176483585376</c:v>
              </c:pt>
              <c:pt idx="19">
                <c:v>14.637176483585376</c:v>
              </c:pt>
              <c:pt idx="20">
                <c:v>14.637176483585376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B-6B15-4B8B-9A38-00416D7A561B}"/>
            </c:ext>
          </c:extLst>
        </c:ser>
        <c:ser>
          <c:idx val="7"/>
          <c:order val="7"/>
          <c:tx>
            <c:v>Firma 8</c:v>
          </c:tx>
          <c:marker>
            <c:symbol val="none"/>
          </c:marker>
          <c:cat>
            <c:numLit>
              <c:formatCode>General</c:formatCode>
              <c:ptCount val="17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</c:numLit>
          </c:cat>
          <c:val>
            <c:numLit>
              <c:formatCode>General</c:formatCode>
              <c:ptCount val="17"/>
              <c:pt idx="0">
                <c:v>10</c:v>
              </c:pt>
              <c:pt idx="1">
                <c:v>10</c:v>
              </c:pt>
              <c:pt idx="2">
                <c:v>10.594335812467104</c:v>
              </c:pt>
              <c:pt idx="3">
                <c:v>10.594335812467104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10.594335812467104</c:v>
              </c:pt>
              <c:pt idx="8">
                <c:v>11.818749442435394</c:v>
              </c:pt>
              <c:pt idx="9">
                <c:v>12.694512944910093</c:v>
              </c:pt>
              <c:pt idx="10">
                <c:v>12.694512944910093</c:v>
              </c:pt>
              <c:pt idx="11">
                <c:v>12.694512944910093</c:v>
              </c:pt>
              <c:pt idx="12">
                <c:v>12.694512944910093</c:v>
              </c:pt>
              <c:pt idx="13">
                <c:v>12.93154574269524</c:v>
              </c:pt>
              <c:pt idx="14">
                <c:v>12.93154574269524</c:v>
              </c:pt>
              <c:pt idx="15">
                <c:v>12.93154574269524</c:v>
              </c:pt>
              <c:pt idx="16">
                <c:v>12.93154574269524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C-6B15-4B8B-9A38-00416D7A561B}"/>
            </c:ext>
          </c:extLst>
        </c:ser>
        <c:ser>
          <c:idx val="8"/>
          <c:order val="8"/>
          <c:tx>
            <c:v>Firma 9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</c:numLit>
          </c:cat>
          <c:val>
            <c:numLit>
              <c:formatCode>General</c:formatCode>
              <c:ptCount val="21"/>
              <c:pt idx="0">
                <c:v>10</c:v>
              </c:pt>
              <c:pt idx="1">
                <c:v>10.534178716705503</c:v>
              </c:pt>
              <c:pt idx="2">
                <c:v>10.594335812467104</c:v>
              </c:pt>
              <c:pt idx="3">
                <c:v>10.594335812467104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10.594335812467104</c:v>
              </c:pt>
              <c:pt idx="8">
                <c:v>11.818749442435394</c:v>
              </c:pt>
              <c:pt idx="9">
                <c:v>12.06484372619075</c:v>
              </c:pt>
              <c:pt idx="10">
                <c:v>12.694512944910093</c:v>
              </c:pt>
              <c:pt idx="11">
                <c:v>12.694512944910093</c:v>
              </c:pt>
              <c:pt idx="12">
                <c:v>12.694512944910093</c:v>
              </c:pt>
              <c:pt idx="13">
                <c:v>12.341582134149228</c:v>
              </c:pt>
              <c:pt idx="14">
                <c:v>13.037875872753451</c:v>
              </c:pt>
              <c:pt idx="15">
                <c:v>13.037875872753451</c:v>
              </c:pt>
              <c:pt idx="16">
                <c:v>13.037875872753451</c:v>
              </c:pt>
              <c:pt idx="17">
                <c:v>13.037875872753451</c:v>
              </c:pt>
              <c:pt idx="18">
                <c:v>14.637176483585376</c:v>
              </c:pt>
              <c:pt idx="19">
                <c:v>14.637176483585376</c:v>
              </c:pt>
              <c:pt idx="20">
                <c:v>14.637176483585376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D-6B15-4B8B-9A38-00416D7A561B}"/>
            </c:ext>
          </c:extLst>
        </c:ser>
        <c:ser>
          <c:idx val="9"/>
          <c:order val="9"/>
          <c:tx>
            <c:v>Firma 10</c:v>
          </c:tx>
          <c:marker>
            <c:symbol val="none"/>
          </c:marker>
          <c:cat>
            <c:numLit>
              <c:formatCode>General</c:formatCode>
              <c:ptCount val="5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</c:num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E-6B15-4B8B-9A38-00416D7A561B}"/>
            </c:ext>
          </c:extLst>
        </c:ser>
        <c:ser>
          <c:idx val="10"/>
          <c:order val="10"/>
          <c:tx>
            <c:v>Firma 11</c:v>
          </c:tx>
          <c:marker>
            <c:symbol val="none"/>
          </c:marker>
          <c:cat>
            <c:numLit>
              <c:formatCode>General</c:formatCode>
              <c:ptCount val="5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</c:num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10.001890656654952</c:v>
              </c:pt>
              <c:pt idx="2">
                <c:v>10.001890656654952</c:v>
              </c:pt>
              <c:pt idx="3">
                <c:v>10.001890656654952</c:v>
              </c:pt>
              <c:pt idx="4">
                <c:v>10.001890656654952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F-6B15-4B8B-9A38-00416D7A561B}"/>
            </c:ext>
          </c:extLst>
        </c:ser>
        <c:ser>
          <c:idx val="11"/>
          <c:order val="11"/>
          <c:tx>
            <c:v>Firma 12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</c:numLit>
          </c:cat>
          <c:val>
            <c:numLit>
              <c:formatCode>General</c:formatCode>
              <c:ptCount val="21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10.594335812467104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11.818749442435394</c:v>
              </c:pt>
              <c:pt idx="8">
                <c:v>11.818749442435394</c:v>
              </c:pt>
              <c:pt idx="9">
                <c:v>11.818749442435394</c:v>
              </c:pt>
              <c:pt idx="10">
                <c:v>11.818749442435394</c:v>
              </c:pt>
              <c:pt idx="11">
                <c:v>11.818749442435394</c:v>
              </c:pt>
              <c:pt idx="12">
                <c:v>12.694512944910093</c:v>
              </c:pt>
              <c:pt idx="13">
                <c:v>12.694512944910093</c:v>
              </c:pt>
              <c:pt idx="14">
                <c:v>13.037875872753451</c:v>
              </c:pt>
              <c:pt idx="15">
                <c:v>13.037875872753451</c:v>
              </c:pt>
              <c:pt idx="16">
                <c:v>13.037875872753451</c:v>
              </c:pt>
              <c:pt idx="17">
                <c:v>13.372666935264913</c:v>
              </c:pt>
              <c:pt idx="18">
                <c:v>14.637176483585376</c:v>
              </c:pt>
              <c:pt idx="19">
                <c:v>14.637176483585376</c:v>
              </c:pt>
              <c:pt idx="20">
                <c:v>14.637176483585376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6B15-4B8B-9A38-00416D7A561B}"/>
            </c:ext>
          </c:extLst>
        </c:ser>
        <c:ser>
          <c:idx val="12"/>
          <c:order val="12"/>
          <c:tx>
            <c:v>Firma 13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</c:numLit>
          </c:cat>
          <c:val>
            <c:numLit>
              <c:formatCode>General</c:formatCode>
              <c:ptCount val="9"/>
              <c:pt idx="0">
                <c:v>10</c:v>
              </c:pt>
              <c:pt idx="1">
                <c:v>10</c:v>
              </c:pt>
              <c:pt idx="2">
                <c:v>10.594335812467104</c:v>
              </c:pt>
              <c:pt idx="3">
                <c:v>10.594335812467104</c:v>
              </c:pt>
              <c:pt idx="4">
                <c:v>10.594335812467104</c:v>
              </c:pt>
              <c:pt idx="5">
                <c:v>11.082052076709918</c:v>
              </c:pt>
              <c:pt idx="6">
                <c:v>11.082052076709918</c:v>
              </c:pt>
              <c:pt idx="7">
                <c:v>11.082052076709918</c:v>
              </c:pt>
              <c:pt idx="8">
                <c:v>11.082052076709918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1-6B15-4B8B-9A38-00416D7A561B}"/>
            </c:ext>
          </c:extLst>
        </c:ser>
        <c:ser>
          <c:idx val="13"/>
          <c:order val="13"/>
          <c:tx>
            <c:v>Firma 14</c:v>
          </c:tx>
          <c:marker>
            <c:symbol val="none"/>
          </c:marker>
          <c:cat>
            <c:numLit>
              <c:formatCode>General</c:formatCode>
              <c:ptCount val="5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</c:num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10.449772066799044</c:v>
              </c:pt>
              <c:pt idx="2">
                <c:v>10.449772066799044</c:v>
              </c:pt>
              <c:pt idx="3">
                <c:v>10.449772066799044</c:v>
              </c:pt>
              <c:pt idx="4">
                <c:v>10.449772066799044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2-6B15-4B8B-9A38-00416D7A561B}"/>
            </c:ext>
          </c:extLst>
        </c:ser>
        <c:ser>
          <c:idx val="14"/>
          <c:order val="14"/>
          <c:tx>
            <c:v>Firma 15</c:v>
          </c:tx>
          <c:marker>
            <c:symbol val="none"/>
          </c:marker>
          <c:cat>
            <c:numLit>
              <c:formatCode>General</c:formatCode>
              <c:ptCount val="13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</c:numLit>
          </c:cat>
          <c:val>
            <c:numLit>
              <c:formatCode>General</c:formatCode>
              <c:ptCount val="13"/>
              <c:pt idx="0">
                <c:v>10</c:v>
              </c:pt>
              <c:pt idx="1">
                <c:v>10</c:v>
              </c:pt>
              <c:pt idx="2">
                <c:v>10.594335812467104</c:v>
              </c:pt>
              <c:pt idx="3">
                <c:v>10.594335812467104</c:v>
              </c:pt>
              <c:pt idx="4">
                <c:v>10.594335812467104</c:v>
              </c:pt>
              <c:pt idx="5">
                <c:v>10.035906533959773</c:v>
              </c:pt>
              <c:pt idx="6">
                <c:v>11.818749442435394</c:v>
              </c:pt>
              <c:pt idx="7">
                <c:v>11.818749442435394</c:v>
              </c:pt>
              <c:pt idx="8">
                <c:v>11.818749442435394</c:v>
              </c:pt>
              <c:pt idx="9">
                <c:v>11.828429478960327</c:v>
              </c:pt>
              <c:pt idx="10">
                <c:v>11.828429478960327</c:v>
              </c:pt>
              <c:pt idx="11">
                <c:v>11.828429478960327</c:v>
              </c:pt>
              <c:pt idx="12">
                <c:v>11.828429478960327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3-6B15-4B8B-9A38-00416D7A561B}"/>
            </c:ext>
          </c:extLst>
        </c:ser>
        <c:ser>
          <c:idx val="15"/>
          <c:order val="15"/>
          <c:tx>
            <c:v>Firma 16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</c:numLit>
          </c:cat>
          <c:val>
            <c:numLit>
              <c:formatCode>General</c:formatCode>
              <c:ptCount val="21"/>
              <c:pt idx="0">
                <c:v>10</c:v>
              </c:pt>
              <c:pt idx="1">
                <c:v>10.51176034797651</c:v>
              </c:pt>
              <c:pt idx="2">
                <c:v>10.51176034797651</c:v>
              </c:pt>
              <c:pt idx="3">
                <c:v>10.594335812467104</c:v>
              </c:pt>
              <c:pt idx="4">
                <c:v>10.594335812467104</c:v>
              </c:pt>
              <c:pt idx="5">
                <c:v>10.798420546474569</c:v>
              </c:pt>
              <c:pt idx="6">
                <c:v>11.818749442435394</c:v>
              </c:pt>
              <c:pt idx="7">
                <c:v>11.818749442435394</c:v>
              </c:pt>
              <c:pt idx="8">
                <c:v>11.818749442435394</c:v>
              </c:pt>
              <c:pt idx="9">
                <c:v>11.818749442435394</c:v>
              </c:pt>
              <c:pt idx="10">
                <c:v>11.818749442435394</c:v>
              </c:pt>
              <c:pt idx="11">
                <c:v>12.694512944910093</c:v>
              </c:pt>
              <c:pt idx="12">
                <c:v>12.694512944910093</c:v>
              </c:pt>
              <c:pt idx="13">
                <c:v>12.763408283937084</c:v>
              </c:pt>
              <c:pt idx="14">
                <c:v>13.037875872753451</c:v>
              </c:pt>
              <c:pt idx="15">
                <c:v>13.037875872753451</c:v>
              </c:pt>
              <c:pt idx="16">
                <c:v>13.037875872753451</c:v>
              </c:pt>
              <c:pt idx="17">
                <c:v>14.191546644376984</c:v>
              </c:pt>
              <c:pt idx="18">
                <c:v>14.191546644376984</c:v>
              </c:pt>
              <c:pt idx="19">
                <c:v>14.191546644376984</c:v>
              </c:pt>
              <c:pt idx="20">
                <c:v>14.637176483585376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4-6B15-4B8B-9A38-00416D7A561B}"/>
            </c:ext>
          </c:extLst>
        </c:ser>
        <c:ser>
          <c:idx val="16"/>
          <c:order val="16"/>
          <c:tx>
            <c:v>Firma 17</c:v>
          </c:tx>
          <c:marker>
            <c:symbol val="none"/>
          </c:marker>
          <c:cat>
            <c:numLit>
              <c:formatCode>General</c:formatCode>
              <c:ptCount val="5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</c:num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5-6B15-4B8B-9A38-00416D7A561B}"/>
            </c:ext>
          </c:extLst>
        </c:ser>
        <c:ser>
          <c:idx val="17"/>
          <c:order val="17"/>
          <c:tx>
            <c:v>Firma 18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</c:numLit>
          </c:cat>
          <c:val>
            <c:numLit>
              <c:formatCode>General</c:formatCode>
              <c:ptCount val="21"/>
              <c:pt idx="0">
                <c:v>10</c:v>
              </c:pt>
              <c:pt idx="1">
                <c:v>10.292454691357037</c:v>
              </c:pt>
              <c:pt idx="2">
                <c:v>10.292454691357037</c:v>
              </c:pt>
              <c:pt idx="3">
                <c:v>10.292454691357037</c:v>
              </c:pt>
              <c:pt idx="4">
                <c:v>10.594335812467104</c:v>
              </c:pt>
              <c:pt idx="5">
                <c:v>10.744157187802664</c:v>
              </c:pt>
              <c:pt idx="6">
                <c:v>11.818749442435394</c:v>
              </c:pt>
              <c:pt idx="7">
                <c:v>11.818749442435394</c:v>
              </c:pt>
              <c:pt idx="8">
                <c:v>11.818749442435394</c:v>
              </c:pt>
              <c:pt idx="9">
                <c:v>11.818749442435394</c:v>
              </c:pt>
              <c:pt idx="10">
                <c:v>12.694512944910093</c:v>
              </c:pt>
              <c:pt idx="11">
                <c:v>12.694512944910093</c:v>
              </c:pt>
              <c:pt idx="12">
                <c:v>12.694512944910093</c:v>
              </c:pt>
              <c:pt idx="13">
                <c:v>12.694512944910093</c:v>
              </c:pt>
              <c:pt idx="14">
                <c:v>13.037875872753451</c:v>
              </c:pt>
              <c:pt idx="15">
                <c:v>13.037875872753451</c:v>
              </c:pt>
              <c:pt idx="16">
                <c:v>13.037875872753451</c:v>
              </c:pt>
              <c:pt idx="17">
                <c:v>13.037875872753451</c:v>
              </c:pt>
              <c:pt idx="18">
                <c:v>14.637176483585376</c:v>
              </c:pt>
              <c:pt idx="19">
                <c:v>14.637176483585376</c:v>
              </c:pt>
              <c:pt idx="20">
                <c:v>14.637176483585376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6-6B15-4B8B-9A38-00416D7A561B}"/>
            </c:ext>
          </c:extLst>
        </c:ser>
        <c:ser>
          <c:idx val="18"/>
          <c:order val="18"/>
          <c:tx>
            <c:v>Firma 19</c:v>
          </c:tx>
          <c:marker>
            <c:symbol val="none"/>
          </c:marker>
          <c:cat>
            <c:numLit>
              <c:formatCode>General</c:formatCode>
              <c:ptCount val="13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</c:numLit>
          </c:cat>
          <c:val>
            <c:numLit>
              <c:formatCode>General</c:formatCode>
              <c:ptCount val="13"/>
              <c:pt idx="0">
                <c:v>10</c:v>
              </c:pt>
              <c:pt idx="1">
                <c:v>10.594335812467104</c:v>
              </c:pt>
              <c:pt idx="2">
                <c:v>10.594335812467104</c:v>
              </c:pt>
              <c:pt idx="3">
                <c:v>10.594335812467104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11.818749442435394</c:v>
              </c:pt>
              <c:pt idx="8">
                <c:v>11.818749442435394</c:v>
              </c:pt>
              <c:pt idx="9">
                <c:v>12.016034576250856</c:v>
              </c:pt>
              <c:pt idx="10">
                <c:v>12.016034576250856</c:v>
              </c:pt>
              <c:pt idx="11">
                <c:v>12.016034576250856</c:v>
              </c:pt>
              <c:pt idx="12">
                <c:v>12.016034576250856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7-6B15-4B8B-9A38-00416D7A561B}"/>
            </c:ext>
          </c:extLst>
        </c:ser>
        <c:ser>
          <c:idx val="19"/>
          <c:order val="19"/>
          <c:tx>
            <c:v>Firma 20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</c:numLit>
          </c:cat>
          <c:val>
            <c:numLit>
              <c:formatCode>General</c:formatCode>
              <c:ptCount val="9"/>
              <c:pt idx="0">
                <c:v>10</c:v>
              </c:pt>
              <c:pt idx="1">
                <c:v>10.255250358973386</c:v>
              </c:pt>
              <c:pt idx="2">
                <c:v>10.594335812467104</c:v>
              </c:pt>
              <c:pt idx="3">
                <c:v>10.594335812467104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10.594335812467104</c:v>
              </c:pt>
              <c:pt idx="8">
                <c:v>10.594335812467104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8-6B15-4B8B-9A38-00416D7A561B}"/>
            </c:ext>
          </c:extLst>
        </c:ser>
        <c:ser>
          <c:idx val="20"/>
          <c:order val="20"/>
          <c:tx>
            <c:v>Firma 21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</c:numLit>
          </c:cat>
          <c:val>
            <c:numLit>
              <c:formatCode>General</c:formatCode>
              <c:ptCount val="9"/>
              <c:pt idx="0">
                <c:v>10</c:v>
              </c:pt>
              <c:pt idx="1">
                <c:v>9.8682246819773525</c:v>
              </c:pt>
              <c:pt idx="2">
                <c:v>10.594335812467104</c:v>
              </c:pt>
              <c:pt idx="3">
                <c:v>10.594335812467104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10.594335812467104</c:v>
              </c:pt>
              <c:pt idx="8">
                <c:v>10.594335812467104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9-6B15-4B8B-9A38-00416D7A561B}"/>
            </c:ext>
          </c:extLst>
        </c:ser>
        <c:ser>
          <c:idx val="21"/>
          <c:order val="21"/>
          <c:tx>
            <c:v>Firma 22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</c:numLit>
          </c:cat>
          <c:val>
            <c:numLit>
              <c:formatCode>General</c:formatCode>
              <c:ptCount val="21"/>
              <c:pt idx="0">
                <c:v>10</c:v>
              </c:pt>
              <c:pt idx="1">
                <c:v>9.8642001666801473</c:v>
              </c:pt>
              <c:pt idx="2">
                <c:v>10.594335812467104</c:v>
              </c:pt>
              <c:pt idx="3">
                <c:v>10.594335812467104</c:v>
              </c:pt>
              <c:pt idx="4">
                <c:v>10.594335812467104</c:v>
              </c:pt>
              <c:pt idx="5">
                <c:v>11.32642111460776</c:v>
              </c:pt>
              <c:pt idx="6">
                <c:v>11.818749442435394</c:v>
              </c:pt>
              <c:pt idx="7">
                <c:v>11.818749442435394</c:v>
              </c:pt>
              <c:pt idx="8">
                <c:v>11.818749442435394</c:v>
              </c:pt>
              <c:pt idx="9">
                <c:v>12.085557411282908</c:v>
              </c:pt>
              <c:pt idx="10">
                <c:v>12.085557411282908</c:v>
              </c:pt>
              <c:pt idx="11">
                <c:v>12.085557411282908</c:v>
              </c:pt>
              <c:pt idx="12">
                <c:v>12.694512944910093</c:v>
              </c:pt>
              <c:pt idx="13">
                <c:v>12.804137544426668</c:v>
              </c:pt>
              <c:pt idx="14">
                <c:v>13.037875872753451</c:v>
              </c:pt>
              <c:pt idx="15">
                <c:v>13.037875872753451</c:v>
              </c:pt>
              <c:pt idx="16">
                <c:v>13.037875872753451</c:v>
              </c:pt>
              <c:pt idx="17">
                <c:v>13.037875872753451</c:v>
              </c:pt>
              <c:pt idx="18">
                <c:v>13.037875872753451</c:v>
              </c:pt>
              <c:pt idx="19">
                <c:v>13.037875872753451</c:v>
              </c:pt>
              <c:pt idx="20">
                <c:v>13.037875872753451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A-6B15-4B8B-9A38-00416D7A561B}"/>
            </c:ext>
          </c:extLst>
        </c:ser>
        <c:ser>
          <c:idx val="22"/>
          <c:order val="22"/>
          <c:tx>
            <c:v>Firma 23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</c:numLit>
          </c:cat>
          <c:val>
            <c:numLit>
              <c:formatCode>General</c:formatCode>
              <c:ptCount val="9"/>
              <c:pt idx="0">
                <c:v>10</c:v>
              </c:pt>
              <c:pt idx="1">
                <c:v>10</c:v>
              </c:pt>
              <c:pt idx="2">
                <c:v>10.594335812467104</c:v>
              </c:pt>
              <c:pt idx="3">
                <c:v>10.594335812467104</c:v>
              </c:pt>
              <c:pt idx="4">
                <c:v>10.594335812467104</c:v>
              </c:pt>
              <c:pt idx="5">
                <c:v>9.8074711492296842</c:v>
              </c:pt>
              <c:pt idx="6">
                <c:v>9.8074711492296842</c:v>
              </c:pt>
              <c:pt idx="7">
                <c:v>9.8074711492296842</c:v>
              </c:pt>
              <c:pt idx="8">
                <c:v>9.8074711492296842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B-6B15-4B8B-9A38-00416D7A561B}"/>
            </c:ext>
          </c:extLst>
        </c:ser>
        <c:ser>
          <c:idx val="23"/>
          <c:order val="23"/>
          <c:tx>
            <c:v>Firma 24</c:v>
          </c:tx>
          <c:marker>
            <c:symbol val="none"/>
          </c:marker>
          <c:cat>
            <c:numLit>
              <c:formatCode>General</c:formatCode>
              <c:ptCount val="17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</c:numLit>
          </c:cat>
          <c:val>
            <c:numLit>
              <c:formatCode>General</c:formatCode>
              <c:ptCount val="17"/>
              <c:pt idx="0">
                <c:v>10</c:v>
              </c:pt>
              <c:pt idx="1">
                <c:v>10.258797119932098</c:v>
              </c:pt>
              <c:pt idx="2">
                <c:v>10.258797119932098</c:v>
              </c:pt>
              <c:pt idx="3">
                <c:v>10.594335812467104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11.818749442435394</c:v>
              </c:pt>
              <c:pt idx="8">
                <c:v>11.818749442435394</c:v>
              </c:pt>
              <c:pt idx="9">
                <c:v>12.369520649431623</c:v>
              </c:pt>
              <c:pt idx="10">
                <c:v>12.694512944910093</c:v>
              </c:pt>
              <c:pt idx="11">
                <c:v>12.694512944910093</c:v>
              </c:pt>
              <c:pt idx="12">
                <c:v>12.694512944910093</c:v>
              </c:pt>
              <c:pt idx="13">
                <c:v>12.694512944910093</c:v>
              </c:pt>
              <c:pt idx="14">
                <c:v>12.694512944910093</c:v>
              </c:pt>
              <c:pt idx="15">
                <c:v>12.694512944910093</c:v>
              </c:pt>
              <c:pt idx="16">
                <c:v>12.694512944910093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C-6B15-4B8B-9A38-00416D7A561B}"/>
            </c:ext>
          </c:extLst>
        </c:ser>
        <c:ser>
          <c:idx val="24"/>
          <c:order val="24"/>
          <c:tx>
            <c:v>Firma 25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</c:numLit>
          </c:cat>
          <c:val>
            <c:numLit>
              <c:formatCode>General</c:formatCode>
              <c:ptCount val="9"/>
              <c:pt idx="0">
                <c:v>10</c:v>
              </c:pt>
              <c:pt idx="1">
                <c:v>9.9971881349087521</c:v>
              </c:pt>
              <c:pt idx="2">
                <c:v>10.594335812467104</c:v>
              </c:pt>
              <c:pt idx="3">
                <c:v>10.594335812467104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10.594335812467104</c:v>
              </c:pt>
              <c:pt idx="8">
                <c:v>10.594335812467104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D-6B15-4B8B-9A38-00416D7A561B}"/>
            </c:ext>
          </c:extLst>
        </c:ser>
        <c:ser>
          <c:idx val="25"/>
          <c:order val="25"/>
          <c:tx>
            <c:v>Firma 26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</c:numLit>
          </c:cat>
          <c:val>
            <c:numLit>
              <c:formatCode>General</c:formatCode>
              <c:ptCount val="21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10.594335812467104</c:v>
              </c:pt>
              <c:pt idx="5">
                <c:v>10.594335812467104</c:v>
              </c:pt>
              <c:pt idx="6">
                <c:v>11.818749442435394</c:v>
              </c:pt>
              <c:pt idx="7">
                <c:v>11.818749442435394</c:v>
              </c:pt>
              <c:pt idx="8">
                <c:v>11.818749442435394</c:v>
              </c:pt>
              <c:pt idx="9">
                <c:v>12.127055215654551</c:v>
              </c:pt>
              <c:pt idx="10">
                <c:v>12.127055215654551</c:v>
              </c:pt>
              <c:pt idx="11">
                <c:v>12.127055215654551</c:v>
              </c:pt>
              <c:pt idx="12">
                <c:v>12.694512944910093</c:v>
              </c:pt>
              <c:pt idx="13">
                <c:v>13.037875872753451</c:v>
              </c:pt>
              <c:pt idx="14">
                <c:v>13.037875872753451</c:v>
              </c:pt>
              <c:pt idx="15">
                <c:v>13.037875872753451</c:v>
              </c:pt>
              <c:pt idx="16">
                <c:v>13.037875872753451</c:v>
              </c:pt>
              <c:pt idx="17">
                <c:v>13.037875872753451</c:v>
              </c:pt>
              <c:pt idx="18">
                <c:v>13.037875872753451</c:v>
              </c:pt>
              <c:pt idx="19">
                <c:v>14.637176483585376</c:v>
              </c:pt>
              <c:pt idx="20">
                <c:v>14.637176483585376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E-6B15-4B8B-9A38-00416D7A561B}"/>
            </c:ext>
          </c:extLst>
        </c:ser>
        <c:ser>
          <c:idx val="26"/>
          <c:order val="26"/>
          <c:tx>
            <c:v>Firma 27</c:v>
          </c:tx>
          <c:marker>
            <c:symbol val="none"/>
          </c:marker>
          <c:cat>
            <c:numLit>
              <c:formatCode>General</c:formatCode>
              <c:ptCount val="5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</c:num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F-6B15-4B8B-9A38-00416D7A561B}"/>
            </c:ext>
          </c:extLst>
        </c:ser>
        <c:ser>
          <c:idx val="27"/>
          <c:order val="27"/>
          <c:tx>
            <c:v>Firma 28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</c:numLit>
          </c:cat>
          <c:val>
            <c:numLit>
              <c:formatCode>General</c:formatCode>
              <c:ptCount val="9"/>
              <c:pt idx="0">
                <c:v>10</c:v>
              </c:pt>
              <c:pt idx="1">
                <c:v>10</c:v>
              </c:pt>
              <c:pt idx="2">
                <c:v>10.594335812467104</c:v>
              </c:pt>
              <c:pt idx="3">
                <c:v>10.594335812467104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10.594335812467104</c:v>
              </c:pt>
              <c:pt idx="8">
                <c:v>10.594335812467104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0-6B15-4B8B-9A38-00416D7A561B}"/>
            </c:ext>
          </c:extLst>
        </c:ser>
        <c:ser>
          <c:idx val="28"/>
          <c:order val="28"/>
          <c:tx>
            <c:v>Firma 29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</c:numLit>
          </c:cat>
          <c:val>
            <c:numLit>
              <c:formatCode>General</c:formatCode>
              <c:ptCount val="21"/>
              <c:pt idx="0">
                <c:v>10</c:v>
              </c:pt>
              <c:pt idx="1">
                <c:v>9.7108283387577323</c:v>
              </c:pt>
              <c:pt idx="2">
                <c:v>9.7108283387577323</c:v>
              </c:pt>
              <c:pt idx="3">
                <c:v>10.594335812467104</c:v>
              </c:pt>
              <c:pt idx="4">
                <c:v>10.594335812467104</c:v>
              </c:pt>
              <c:pt idx="5">
                <c:v>11.818749442435394</c:v>
              </c:pt>
              <c:pt idx="6">
                <c:v>11.818749442435394</c:v>
              </c:pt>
              <c:pt idx="7">
                <c:v>11.818749442435394</c:v>
              </c:pt>
              <c:pt idx="8">
                <c:v>11.818749442435394</c:v>
              </c:pt>
              <c:pt idx="9">
                <c:v>11.818749442435394</c:v>
              </c:pt>
              <c:pt idx="10">
                <c:v>12.694512944910093</c:v>
              </c:pt>
              <c:pt idx="11">
                <c:v>12.694512944910093</c:v>
              </c:pt>
              <c:pt idx="12">
                <c:v>12.694512944910093</c:v>
              </c:pt>
              <c:pt idx="13">
                <c:v>12.858096422461401</c:v>
              </c:pt>
              <c:pt idx="14">
                <c:v>12.858096422461401</c:v>
              </c:pt>
              <c:pt idx="15">
                <c:v>13.037875872753451</c:v>
              </c:pt>
              <c:pt idx="16">
                <c:v>13.037875872753451</c:v>
              </c:pt>
              <c:pt idx="17">
                <c:v>13.785305490912634</c:v>
              </c:pt>
              <c:pt idx="18">
                <c:v>13.785305490912634</c:v>
              </c:pt>
              <c:pt idx="19">
                <c:v>14.637176483585376</c:v>
              </c:pt>
              <c:pt idx="20">
                <c:v>14.637176483585376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1-6B15-4B8B-9A38-00416D7A561B}"/>
            </c:ext>
          </c:extLst>
        </c:ser>
        <c:ser>
          <c:idx val="29"/>
          <c:order val="29"/>
          <c:tx>
            <c:v>Firma 30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</c:numLit>
          </c:cat>
          <c:val>
            <c:numLit>
              <c:formatCode>General</c:formatCode>
              <c:ptCount val="21"/>
              <c:pt idx="0">
                <c:v>10</c:v>
              </c:pt>
              <c:pt idx="1">
                <c:v>9.8702678288783989</c:v>
              </c:pt>
              <c:pt idx="2">
                <c:v>10.594335812467104</c:v>
              </c:pt>
              <c:pt idx="3">
                <c:v>10.594335812467104</c:v>
              </c:pt>
              <c:pt idx="4">
                <c:v>10.594335812467104</c:v>
              </c:pt>
              <c:pt idx="5">
                <c:v>10.594335812467104</c:v>
              </c:pt>
              <c:pt idx="6">
                <c:v>10.594335812467104</c:v>
              </c:pt>
              <c:pt idx="7">
                <c:v>11.818749442435394</c:v>
              </c:pt>
              <c:pt idx="8">
                <c:v>11.818749442435394</c:v>
              </c:pt>
              <c:pt idx="9">
                <c:v>12.273276369329212</c:v>
              </c:pt>
              <c:pt idx="10">
                <c:v>12.694512944910093</c:v>
              </c:pt>
              <c:pt idx="11">
                <c:v>12.694512944910093</c:v>
              </c:pt>
              <c:pt idx="12">
                <c:v>12.694512944910093</c:v>
              </c:pt>
              <c:pt idx="13">
                <c:v>12.694512944910093</c:v>
              </c:pt>
              <c:pt idx="14">
                <c:v>12.694512944910093</c:v>
              </c:pt>
              <c:pt idx="15">
                <c:v>13.037875872753451</c:v>
              </c:pt>
              <c:pt idx="16">
                <c:v>13.037875872753451</c:v>
              </c:pt>
              <c:pt idx="17">
                <c:v>13.037875872753451</c:v>
              </c:pt>
              <c:pt idx="18">
                <c:v>13.037875872753451</c:v>
              </c:pt>
              <c:pt idx="19">
                <c:v>14.637176483585376</c:v>
              </c:pt>
              <c:pt idx="20">
                <c:v>14.637176483585376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2-6B15-4B8B-9A38-00416D7A5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3047663"/>
        <c:axId val="2003039983"/>
      </c:lineChart>
      <c:scatterChart>
        <c:scatterStyle val="lineMarker"/>
        <c:varyColors val="0"/>
        <c:ser>
          <c:idx val="30"/>
          <c:order val="30"/>
          <c:tx>
            <c:v>Infección en t=1</c:v>
          </c:tx>
          <c:spPr>
            <a:ln w="25400" cap="rnd" cmpd="sng" algn="ctr">
              <a:solidFill>
                <a:srgbClr val="FF0000">
                  <a:alpha val="5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pPr>
              <a:ln w="25400" cap="rnd" cmpd="sng" algn="ctr">
                <a:solidFill>
                  <a:srgbClr val="FF0000">
                    <a:alpha val="50000"/>
                  </a:srgbClr>
                </a:solidFill>
                <a:prstDash val="dash"/>
                <a:round/>
                <a:headEnd type="none" w="med" len="med"/>
                <a:tailEnd type="none" w="med" len="med"/>
              </a:ln>
            </c:spPr>
          </c:marker>
          <c:x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9</c:v>
              </c:pt>
              <c:pt idx="1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3-6B15-4B8B-9A38-00416D7A561B}"/>
            </c:ext>
          </c:extLst>
        </c:ser>
        <c:ser>
          <c:idx val="31"/>
          <c:order val="31"/>
          <c:tx>
            <c:v>Infección en t=5</c:v>
          </c:tx>
          <c:spPr>
            <a:ln w="25400" cap="rnd" cmpd="sng" algn="ctr">
              <a:solidFill>
                <a:srgbClr val="FF0000">
                  <a:alpha val="5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pPr>
              <a:ln w="25400" cap="rnd" cmpd="sng" algn="ctr">
                <a:solidFill>
                  <a:srgbClr val="FF0000">
                    <a:alpha val="50000"/>
                  </a:srgbClr>
                </a:solidFill>
                <a:prstDash val="dash"/>
                <a:round/>
                <a:headEnd type="none" w="med" len="med"/>
                <a:tailEnd type="none" w="med" len="med"/>
              </a:ln>
            </c:spPr>
          </c:marker>
          <c:xVal>
            <c:numLit>
              <c:formatCode>General</c:formatCode>
              <c:ptCount val="2"/>
              <c:pt idx="0">
                <c:v>6</c:v>
              </c:pt>
              <c:pt idx="1">
                <c:v>6</c:v>
              </c:pt>
            </c:numLit>
          </c:xVal>
          <c:yVal>
            <c:numLit>
              <c:formatCode>General</c:formatCode>
              <c:ptCount val="2"/>
              <c:pt idx="0">
                <c:v>9</c:v>
              </c:pt>
              <c:pt idx="1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4-6B15-4B8B-9A38-00416D7A561B}"/>
            </c:ext>
          </c:extLst>
        </c:ser>
        <c:ser>
          <c:idx val="32"/>
          <c:order val="32"/>
          <c:tx>
            <c:v>Infección en t=9</c:v>
          </c:tx>
          <c:spPr>
            <a:ln w="25400" cap="rnd" cmpd="sng" algn="ctr">
              <a:solidFill>
                <a:srgbClr val="FF0000">
                  <a:alpha val="5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pPr>
              <a:ln w="25400" cap="rnd" cmpd="sng" algn="ctr">
                <a:solidFill>
                  <a:srgbClr val="FF0000">
                    <a:alpha val="50000"/>
                  </a:srgbClr>
                </a:solidFill>
                <a:prstDash val="dash"/>
                <a:round/>
                <a:headEnd type="none" w="med" len="med"/>
                <a:tailEnd type="none" w="med" len="med"/>
              </a:ln>
            </c:spPr>
          </c:marker>
          <c:xVal>
            <c:numLit>
              <c:formatCode>General</c:formatCode>
              <c:ptCount val="2"/>
              <c:pt idx="0">
                <c:v>10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9</c:v>
              </c:pt>
              <c:pt idx="1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5-6B15-4B8B-9A38-00416D7A561B}"/>
            </c:ext>
          </c:extLst>
        </c:ser>
        <c:ser>
          <c:idx val="33"/>
          <c:order val="33"/>
          <c:tx>
            <c:v>Infección en t=13</c:v>
          </c:tx>
          <c:spPr>
            <a:ln w="25400" cap="rnd" cmpd="sng" algn="ctr">
              <a:solidFill>
                <a:srgbClr val="FF0000">
                  <a:alpha val="5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pPr>
              <a:ln w="25400" cap="rnd" cmpd="sng" algn="ctr">
                <a:solidFill>
                  <a:srgbClr val="FF0000">
                    <a:alpha val="50000"/>
                  </a:srgbClr>
                </a:solidFill>
                <a:prstDash val="dash"/>
                <a:round/>
                <a:headEnd type="none" w="med" len="med"/>
                <a:tailEnd type="none" w="med" len="med"/>
              </a:ln>
            </c:spPr>
          </c:marker>
          <c:xVal>
            <c:numLit>
              <c:formatCode>General</c:formatCode>
              <c:ptCount val="2"/>
              <c:pt idx="0">
                <c:v>14</c:v>
              </c:pt>
              <c:pt idx="1">
                <c:v>14</c:v>
              </c:pt>
            </c:numLit>
          </c:xVal>
          <c:yVal>
            <c:numLit>
              <c:formatCode>General</c:formatCode>
              <c:ptCount val="2"/>
              <c:pt idx="0">
                <c:v>9</c:v>
              </c:pt>
              <c:pt idx="1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6-6B15-4B8B-9A38-00416D7A561B}"/>
            </c:ext>
          </c:extLst>
        </c:ser>
        <c:ser>
          <c:idx val="34"/>
          <c:order val="34"/>
          <c:tx>
            <c:v>Infección en t=17</c:v>
          </c:tx>
          <c:spPr>
            <a:ln w="25400" cap="rnd" cmpd="sng" algn="ctr">
              <a:solidFill>
                <a:srgbClr val="FF0000">
                  <a:alpha val="5000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pPr>
              <a:ln w="25400" cap="rnd" cmpd="sng" algn="ctr">
                <a:solidFill>
                  <a:srgbClr val="FF0000">
                    <a:alpha val="50000"/>
                  </a:srgbClr>
                </a:solidFill>
                <a:prstDash val="dash"/>
                <a:round/>
                <a:headEnd type="none" w="med" len="med"/>
                <a:tailEnd type="none" w="med" len="med"/>
              </a:ln>
            </c:spPr>
          </c:marker>
          <c:xVal>
            <c:numLit>
              <c:formatCode>General</c:formatCode>
              <c:ptCount val="2"/>
              <c:pt idx="0">
                <c:v>18</c:v>
              </c:pt>
              <c:pt idx="1">
                <c:v>18</c:v>
              </c:pt>
            </c:numLit>
          </c:xVal>
          <c:yVal>
            <c:numLit>
              <c:formatCode>General</c:formatCode>
              <c:ptCount val="2"/>
              <c:pt idx="0">
                <c:v>9</c:v>
              </c:pt>
              <c:pt idx="1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6B15-4B8B-9A38-00416D7A5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3047663"/>
        <c:axId val="2003039983"/>
      </c:scatterChart>
      <c:catAx>
        <c:axId val="20030476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Tiempo 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03039983"/>
        <c:crosses val="autoZero"/>
        <c:auto val="1"/>
        <c:lblAlgn val="ctr"/>
        <c:lblOffset val="100"/>
        <c:noMultiLvlLbl val="0"/>
      </c:catAx>
      <c:valAx>
        <c:axId val="2003039983"/>
        <c:scaling>
          <c:orientation val="minMax"/>
          <c:max val="15"/>
          <c:min val="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Valor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0304766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31" fmlaLink="$E$4" max="10" page="10" val="6"/>
</file>

<file path=xl/ctrlProps/ctrlProp2.xml><?xml version="1.0" encoding="utf-8"?>
<formControlPr xmlns="http://schemas.microsoft.com/office/spreadsheetml/2009/9/main" objectType="Spin" dx="31" fmlaLink="$L$4" max="10" page="10" val="3"/>
</file>

<file path=xl/ctrlProps/ctrlProp3.xml><?xml version="1.0" encoding="utf-8"?>
<formControlPr xmlns="http://schemas.microsoft.com/office/spreadsheetml/2009/9/main" objectType="Spin" dx="31" fmlaLink="$R$4" max="20" min="1" page="10" val="4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2</xdr:row>
          <xdr:rowOff>25400</xdr:rowOff>
        </xdr:from>
        <xdr:to>
          <xdr:col>4</xdr:col>
          <xdr:colOff>527050</xdr:colOff>
          <xdr:row>5</xdr:row>
          <xdr:rowOff>158750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2</xdr:row>
          <xdr:rowOff>31750</xdr:rowOff>
        </xdr:from>
        <xdr:to>
          <xdr:col>11</xdr:col>
          <xdr:colOff>533400</xdr:colOff>
          <xdr:row>5</xdr:row>
          <xdr:rowOff>165100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</xdr:colOff>
          <xdr:row>2</xdr:row>
          <xdr:rowOff>31750</xdr:rowOff>
        </xdr:from>
        <xdr:to>
          <xdr:col>18</xdr:col>
          <xdr:colOff>533400</xdr:colOff>
          <xdr:row>5</xdr:row>
          <xdr:rowOff>165100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590550</xdr:colOff>
          <xdr:row>2</xdr:row>
          <xdr:rowOff>0</xdr:rowOff>
        </xdr:from>
        <xdr:to>
          <xdr:col>22</xdr:col>
          <xdr:colOff>577850</xdr:colOff>
          <xdr:row>6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Aptos Narrow"/>
                </a:rPr>
                <a:t>GRÁFICA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0</xdr:colOff>
      <xdr:row>10</xdr:row>
      <xdr:rowOff>0</xdr:rowOff>
    </xdr:from>
    <xdr:to>
      <xdr:col>35</xdr:col>
      <xdr:colOff>304800</xdr:colOff>
      <xdr:row>37</xdr:row>
      <xdr:rowOff>107950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E9E6F6-EF51-64DD-0598-DC0CD6C808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779E-AAC8-4794-BDDB-CC7C77F3DD89}">
  <sheetPr codeName="Sheet1"/>
  <dimension ref="A2:W47"/>
  <sheetViews>
    <sheetView tabSelected="1" topLeftCell="B1" zoomScale="56" zoomScaleNormal="29" workbookViewId="0">
      <selection activeCell="L41" sqref="L41"/>
    </sheetView>
  </sheetViews>
  <sheetFormatPr defaultRowHeight="14.5" x14ac:dyDescent="0.35"/>
  <cols>
    <col min="1" max="1" width="13.90625" style="1" bestFit="1" customWidth="1"/>
  </cols>
  <sheetData>
    <row r="2" spans="1:22" x14ac:dyDescent="0.35">
      <c r="G2" s="14" t="s">
        <v>9</v>
      </c>
      <c r="H2" s="14"/>
      <c r="I2" s="14"/>
      <c r="J2" s="14"/>
      <c r="K2" s="14"/>
      <c r="L2">
        <v>99</v>
      </c>
      <c r="M2" t="s">
        <v>10</v>
      </c>
      <c r="P2">
        <f>LOG(1 - L2/100)/LOG(1-K4)</f>
        <v>12.911392471625762</v>
      </c>
    </row>
    <row r="4" spans="1:22" ht="14.5" customHeight="1" x14ac:dyDescent="0.35">
      <c r="A4" s="15" t="s">
        <v>3</v>
      </c>
      <c r="B4" s="15"/>
      <c r="C4" s="15"/>
      <c r="D4" s="13">
        <f>E4/10</f>
        <v>0.6</v>
      </c>
      <c r="E4" s="7">
        <v>6</v>
      </c>
      <c r="H4" s="15" t="s">
        <v>4</v>
      </c>
      <c r="I4" s="15"/>
      <c r="J4" s="15"/>
      <c r="K4" s="13">
        <f>L4/10</f>
        <v>0.3</v>
      </c>
      <c r="L4" s="7">
        <v>3</v>
      </c>
      <c r="O4" s="15" t="s">
        <v>8</v>
      </c>
      <c r="P4" s="15"/>
      <c r="Q4" s="15"/>
      <c r="R4" s="13">
        <v>4</v>
      </c>
      <c r="S4" s="7"/>
    </row>
    <row r="5" spans="1:22" x14ac:dyDescent="0.35">
      <c r="A5" s="15"/>
      <c r="B5" s="15"/>
      <c r="C5" s="15"/>
      <c r="D5" s="13"/>
      <c r="H5" s="15"/>
      <c r="I5" s="15"/>
      <c r="J5" s="15"/>
      <c r="K5" s="13"/>
      <c r="O5" s="15"/>
      <c r="P5" s="15"/>
      <c r="Q5" s="15"/>
      <c r="R5" s="13"/>
    </row>
    <row r="8" spans="1:22" s="1" customFormat="1" x14ac:dyDescent="0.35">
      <c r="A8" s="1" t="s">
        <v>12</v>
      </c>
      <c r="B8" s="1">
        <v>0</v>
      </c>
      <c r="C8" s="1">
        <v>1</v>
      </c>
      <c r="D8" s="1">
        <v>2</v>
      </c>
      <c r="E8" s="1">
        <v>3</v>
      </c>
      <c r="F8" s="1">
        <v>4</v>
      </c>
      <c r="G8" s="1">
        <v>5</v>
      </c>
      <c r="H8" s="1">
        <v>6</v>
      </c>
      <c r="I8" s="1">
        <v>7</v>
      </c>
      <c r="J8" s="1">
        <v>8</v>
      </c>
      <c r="K8" s="1">
        <v>9</v>
      </c>
      <c r="L8" s="1">
        <v>10</v>
      </c>
      <c r="M8" s="1">
        <v>11</v>
      </c>
      <c r="N8" s="1">
        <v>12</v>
      </c>
      <c r="O8" s="1">
        <v>13</v>
      </c>
      <c r="P8" s="1">
        <v>14</v>
      </c>
      <c r="Q8" s="1">
        <v>15</v>
      </c>
      <c r="R8" s="1">
        <v>16</v>
      </c>
      <c r="S8" s="1">
        <v>17</v>
      </c>
      <c r="T8" s="1">
        <v>18</v>
      </c>
      <c r="U8" s="1">
        <v>19</v>
      </c>
      <c r="V8" s="1">
        <v>20</v>
      </c>
    </row>
    <row r="9" spans="1:22" s="9" customFormat="1" ht="29" x14ac:dyDescent="0.35">
      <c r="A9" s="6" t="s">
        <v>11</v>
      </c>
      <c r="B9" s="9">
        <v>0</v>
      </c>
      <c r="C9" s="9">
        <f>IF(MOD(C$8 - 1,Tecnología!$R$4)=0,1,0)*C8</f>
        <v>1</v>
      </c>
      <c r="D9" s="9">
        <f>IF(MOD(D$8 - 1,Tecnología!$R$4)=0,1,0)*D8</f>
        <v>0</v>
      </c>
      <c r="E9" s="9">
        <f>IF(MOD(E$8 - 1,Tecnología!$R$4)=0,1,0)*E8</f>
        <v>0</v>
      </c>
      <c r="F9" s="9">
        <f>IF(MOD(F$8 - 1,Tecnología!$R$4)=0,1,0)*F8</f>
        <v>0</v>
      </c>
      <c r="G9" s="9">
        <f>IF(MOD(G$8 - 1,Tecnología!$R$4)=0,1,0)*G8</f>
        <v>5</v>
      </c>
      <c r="H9" s="9">
        <f>IF(MOD(H$8 - 1,Tecnología!$R$4)=0,1,0)*H8</f>
        <v>0</v>
      </c>
      <c r="I9" s="9">
        <f>IF(MOD(I$8 - 1,Tecnología!$R$4)=0,1,0)*I8</f>
        <v>0</v>
      </c>
      <c r="J9" s="9">
        <f>IF(MOD(J$8 - 1,Tecnología!$R$4)=0,1,0)*J8</f>
        <v>0</v>
      </c>
      <c r="K9" s="9">
        <f>IF(MOD(K$8 - 1,Tecnología!$R$4)=0,1,0)*K8</f>
        <v>9</v>
      </c>
      <c r="L9" s="9">
        <f>IF(MOD(L$8 - 1,Tecnología!$R$4)=0,1,0)*L8</f>
        <v>0</v>
      </c>
      <c r="M9" s="9">
        <f>IF(MOD(M$8 - 1,Tecnología!$R$4)=0,1,0)*M8</f>
        <v>0</v>
      </c>
      <c r="N9" s="9">
        <f>IF(MOD(N$8 - 1,Tecnología!$R$4)=0,1,0)*N8</f>
        <v>0</v>
      </c>
      <c r="O9" s="9">
        <f>IF(MOD(O$8 - 1,Tecnología!$R$4)=0,1,0)*O8</f>
        <v>13</v>
      </c>
      <c r="P9" s="9">
        <f>IF(MOD(P$8 - 1,Tecnología!$R$4)=0,1,0)*P8</f>
        <v>0</v>
      </c>
      <c r="Q9" s="9">
        <f>IF(MOD(Q$8 - 1,Tecnología!$R$4)=0,1,0)*Q8</f>
        <v>0</v>
      </c>
      <c r="R9" s="9">
        <f>IF(MOD(R$8 - 1,Tecnología!$R$4)=0,1,0)*R8</f>
        <v>0</v>
      </c>
      <c r="S9" s="9">
        <f>IF(MOD(S$8 - 1,Tecnología!$R$4)=0,1,0)*S8</f>
        <v>17</v>
      </c>
      <c r="T9" s="9">
        <f>IF(MOD(T$8 - 1,Tecnología!$R$4)=0,1,0)*T8</f>
        <v>0</v>
      </c>
      <c r="U9" s="9">
        <f>IF(MOD(U$8 - 1,Tecnología!$R$4)=0,1,0)*U8</f>
        <v>0</v>
      </c>
      <c r="V9" s="9">
        <f>IF(MOD(V$8 - 1,Tecnología!$R$4)=0,1,0)*V8</f>
        <v>0</v>
      </c>
    </row>
    <row r="10" spans="1:22" s="9" customFormat="1" x14ac:dyDescent="0.35">
      <c r="A10" s="6" t="s">
        <v>0</v>
      </c>
    </row>
    <row r="11" spans="1:22" s="2" customFormat="1" x14ac:dyDescent="0.35">
      <c r="A11" s="1">
        <v>1</v>
      </c>
      <c r="B11" s="2">
        <v>10</v>
      </c>
      <c r="C11" s="2">
        <f ca="1">MAX(B11+Infectadas!C4*'Shock Tecnológico'!C4,B$42*Imitación!C4)*Viva!C4</f>
        <v>10.483215410818199</v>
      </c>
      <c r="D11" s="2">
        <f ca="1">MAX(C11+Infectadas!D4*'Shock Tecnológico'!D4,C$42*Imitación!D4)*Viva!D4</f>
        <v>10.483215410818199</v>
      </c>
      <c r="E11" s="2">
        <f ca="1">MAX(D11+Infectadas!E4*'Shock Tecnológico'!E4,D$42*Imitación!E4)*Viva!E4</f>
        <v>11.110214191058491</v>
      </c>
      <c r="F11" s="2">
        <f ca="1">MAX(E11+Infectadas!F4*'Shock Tecnológico'!F4,E$42*Imitación!F4)*Viva!F4</f>
        <v>11.110214191058491</v>
      </c>
      <c r="G11" s="2">
        <f ca="1">MAX(F11+Infectadas!G4*'Shock Tecnológico'!G4,F$42*Imitación!G4)*Viva!G4</f>
        <v>11.140837644795662</v>
      </c>
      <c r="H11" s="2">
        <f ca="1">MAX(G11+Infectadas!H4*'Shock Tecnológico'!H4,G$42*Imitación!H4)*Viva!H4</f>
        <v>11.140837644795662</v>
      </c>
      <c r="I11" s="2">
        <f ca="1">MAX(H11+Infectadas!I4*'Shock Tecnológico'!I4,H$42*Imitación!I4)*Viva!I4</f>
        <v>12.022212488865708</v>
      </c>
      <c r="J11" s="2">
        <f ca="1">MAX(I11+Infectadas!J4*'Shock Tecnológico'!J4,I$42*Imitación!J4)*Viva!J4</f>
        <v>12.022212488865708</v>
      </c>
      <c r="K11" s="2">
        <f ca="1">MAX(J11+Infectadas!K4*'Shock Tecnológico'!K4,J$42*Imitación!K4)*Viva!K4</f>
        <v>11.927508911245916</v>
      </c>
      <c r="L11" s="2">
        <f ca="1">MAX(K11+Infectadas!L4*'Shock Tecnológico'!L4,K$42*Imitación!L4)*Viva!L4</f>
        <v>11.927508911245916</v>
      </c>
      <c r="M11" s="2">
        <f ca="1">MAX(L11+Infectadas!M4*'Shock Tecnológico'!M4,L$42*Imitación!M4)*Viva!M4</f>
        <v>12.51479410179873</v>
      </c>
      <c r="N11" s="2">
        <f ca="1">MAX(M11+Infectadas!N4*'Shock Tecnológico'!N4,M$42*Imitación!N4)*Viva!N4</f>
        <v>12.51479410179873</v>
      </c>
      <c r="O11" s="2">
        <f ca="1">MAX(N11+Infectadas!O4*'Shock Tecnológico'!O4,N$42*Imitación!O4)*Viva!O4</f>
        <v>11.684184118672892</v>
      </c>
      <c r="P11" s="2">
        <f ca="1">MAX(O11+Infectadas!P4*'Shock Tecnológico'!P4,O$42*Imitación!P4)*Viva!P4</f>
        <v>11.684184118672892</v>
      </c>
      <c r="Q11" s="2">
        <f ca="1">MAX(P11+Infectadas!Q4*'Shock Tecnológico'!Q4,P$42*Imitación!Q4)*Viva!Q4</f>
        <v>12.928633973138883</v>
      </c>
      <c r="R11" s="2">
        <f ca="1">MAX(Q11+Infectadas!R4*'Shock Tecnológico'!R4,Q$42*Imitación!R4)*Viva!R4</f>
        <v>12.928633973138883</v>
      </c>
      <c r="S11" s="2">
        <f ca="1">MAX(R11+Infectadas!S4*'Shock Tecnológico'!S4,R$42*Imitación!S4)*Viva!S4</f>
        <v>13.209452472151842</v>
      </c>
      <c r="T11" s="2">
        <f ca="1">MAX(S11+Infectadas!T4*'Shock Tecnológico'!T4,S$42*Imitación!T4)*Viva!T4</f>
        <v>13.209452472151842</v>
      </c>
      <c r="U11" s="2">
        <f ca="1">MAX(T11+Infectadas!U4*'Shock Tecnológico'!U4,T$42*Imitación!U4)*Viva!U4</f>
        <v>13.209452472151842</v>
      </c>
      <c r="V11" s="2">
        <f ca="1">MAX(U11+Infectadas!V4*'Shock Tecnológico'!V4,U$42*Imitación!V4)*Viva!V4</f>
        <v>13.209452472151842</v>
      </c>
    </row>
    <row r="12" spans="1:22" s="2" customFormat="1" x14ac:dyDescent="0.35">
      <c r="A12" s="1">
        <v>2</v>
      </c>
      <c r="B12" s="2">
        <v>10</v>
      </c>
      <c r="C12" s="2">
        <f ca="1">MAX(B12+Infectadas!C5*'Shock Tecnológico'!C5,B$42*Imitación!C5)*Viva!C5</f>
        <v>9.5837779087756658</v>
      </c>
      <c r="D12" s="2">
        <f ca="1">MAX(C12+Infectadas!D5*'Shock Tecnológico'!D5,C$42*Imitación!D5)*Viva!D5</f>
        <v>11.110214191058491</v>
      </c>
      <c r="E12" s="2">
        <f ca="1">MAX(D12+Infectadas!E5*'Shock Tecnológico'!E5,D$42*Imitación!E5)*Viva!E5</f>
        <v>11.110214191058491</v>
      </c>
      <c r="F12" s="2">
        <f ca="1">MAX(E12+Infectadas!F5*'Shock Tecnológico'!F5,E$42*Imitación!F5)*Viva!F5</f>
        <v>11.110214191058491</v>
      </c>
      <c r="G12" s="2">
        <f ca="1">MAX(F12+Infectadas!G5*'Shock Tecnológico'!G5,F$42*Imitación!G5)*Viva!G5</f>
        <v>11.573233249975003</v>
      </c>
      <c r="H12" s="2">
        <f ca="1">MAX(G12+Infectadas!H5*'Shock Tecnológico'!H5,G$42*Imitación!H5)*Viva!H5</f>
        <v>12.022212488865708</v>
      </c>
      <c r="I12" s="2">
        <f ca="1">MAX(H12+Infectadas!I5*'Shock Tecnológico'!I5,H$42*Imitación!I5)*Viva!I5</f>
        <v>12.022212488865708</v>
      </c>
      <c r="J12" s="2">
        <f ca="1">MAX(I12+Infectadas!J5*'Shock Tecnológico'!J5,I$42*Imitación!J5)*Viva!J5</f>
        <v>12.022212488865708</v>
      </c>
      <c r="K12" s="2">
        <f ca="1">MAX(J12+Infectadas!K5*'Shock Tecnológico'!K5,J$42*Imitación!K5)*Viva!K5</f>
        <v>12.022212488865708</v>
      </c>
      <c r="L12" s="2">
        <f ca="1">MAX(K12+Infectadas!L5*'Shock Tecnológico'!L5,K$42*Imitación!L5)*Viva!L5</f>
        <v>12.51479410179873</v>
      </c>
      <c r="M12" s="2">
        <f ca="1">MAX(L12+Infectadas!M5*'Shock Tecnológico'!M5,L$42*Imitación!M5)*Viva!M5</f>
        <v>12.51479410179873</v>
      </c>
      <c r="N12" s="2">
        <f ca="1">MAX(M12+Infectadas!N5*'Shock Tecnológico'!N5,M$42*Imitación!N5)*Viva!N5</f>
        <v>12.51479410179873</v>
      </c>
      <c r="O12" s="2">
        <f ca="1">MAX(N12+Infectadas!O5*'Shock Tecnológico'!O5,N$42*Imitación!O5)*Viva!O5</f>
        <v>12.227461567581344</v>
      </c>
      <c r="P12" s="2">
        <f ca="1">MAX(O12+Infectadas!P5*'Shock Tecnológico'!P5,O$42*Imitación!P5)*Viva!P5</f>
        <v>12.227461567581344</v>
      </c>
      <c r="Q12" s="2">
        <f ca="1">MAX(P12+Infectadas!Q5*'Shock Tecnológico'!Q5,P$42*Imitación!Q5)*Viva!Q5</f>
        <v>12.928633973138883</v>
      </c>
      <c r="R12" s="2">
        <f ca="1">MAX(Q12+Infectadas!R5*'Shock Tecnológico'!R5,Q$42*Imitación!R5)*Viva!R5</f>
        <v>12.928633973138883</v>
      </c>
      <c r="S12" s="2">
        <f ca="1">MAX(R12+Infectadas!S5*'Shock Tecnológico'!S5,R$42*Imitación!S5)*Viva!S5</f>
        <v>12.928633973138883</v>
      </c>
      <c r="T12" s="2">
        <f ca="1">MAX(S12+Infectadas!T5*'Shock Tecnológico'!T5,S$42*Imitación!T5)*Viva!T5</f>
        <v>12.928633973138883</v>
      </c>
      <c r="U12" s="2">
        <f ca="1">MAX(T12+Infectadas!U5*'Shock Tecnológico'!U5,T$42*Imitación!U5)*Viva!U5</f>
        <v>12.928633973138883</v>
      </c>
      <c r="V12" s="2">
        <f ca="1">MAX(U12+Infectadas!V5*'Shock Tecnológico'!V5,U$42*Imitación!V5)*Viva!V5</f>
        <v>12.928633973138883</v>
      </c>
    </row>
    <row r="13" spans="1:22" s="2" customFormat="1" x14ac:dyDescent="0.35">
      <c r="A13" s="1">
        <v>3</v>
      </c>
      <c r="B13" s="2">
        <v>10</v>
      </c>
      <c r="C13" s="2">
        <f ca="1">MAX(B13+Infectadas!C6*'Shock Tecnológico'!C6,B$42*Imitación!C6)*Viva!C6</f>
        <v>8.598927127323849</v>
      </c>
      <c r="D13" s="2">
        <f ca="1">MAX(C13+Infectadas!D6*'Shock Tecnológico'!D6,C$42*Imitación!D6)*Viva!D6</f>
        <v>11.110214191058491</v>
      </c>
      <c r="E13" s="2">
        <f ca="1">MAX(D13+Infectadas!E6*'Shock Tecnológico'!E6,D$42*Imitación!E6)*Viva!E6</f>
        <v>11.110214191058491</v>
      </c>
      <c r="F13" s="2">
        <f ca="1">MAX(E13+Infectadas!F6*'Shock Tecnológico'!F6,E$42*Imitación!F6)*Viva!F6</f>
        <v>11.110214191058491</v>
      </c>
      <c r="G13" s="2">
        <f ca="1">MAX(F13+Infectadas!G6*'Shock Tecnológico'!G6,F$42*Imitación!G6)*Viva!G6</f>
        <v>11.78043248294337</v>
      </c>
      <c r="H13" s="2">
        <f ca="1">MAX(G13+Infectadas!H6*'Shock Tecnológico'!H6,G$42*Imitación!H6)*Viva!H6</f>
        <v>11.78043248294337</v>
      </c>
      <c r="I13" s="2">
        <f ca="1">MAX(H13+Infectadas!I6*'Shock Tecnológico'!I6,H$42*Imitación!I6)*Viva!I6</f>
        <v>11.78043248294337</v>
      </c>
      <c r="J13" s="2">
        <f ca="1">MAX(I13+Infectadas!J6*'Shock Tecnológico'!J6,I$42*Imitación!J6)*Viva!J6</f>
        <v>12.022212488865708</v>
      </c>
      <c r="K13" s="2">
        <f ca="1">MAX(J13+Infectadas!K6*'Shock Tecnológico'!K6,J$42*Imitación!K6)*Viva!K6</f>
        <v>12.022212488865708</v>
      </c>
      <c r="L13" s="2">
        <f ca="1">MAX(K13+Infectadas!L6*'Shock Tecnológico'!L6,K$42*Imitación!L6)*Viva!L6</f>
        <v>12.51479410179873</v>
      </c>
      <c r="M13" s="2">
        <f ca="1">MAX(L13+Infectadas!M6*'Shock Tecnológico'!M6,L$42*Imitación!M6)*Viva!M6</f>
        <v>12.51479410179873</v>
      </c>
      <c r="N13" s="2">
        <f ca="1">MAX(M13+Infectadas!N6*'Shock Tecnológico'!N6,M$42*Imitación!N6)*Viva!N6</f>
        <v>12.51479410179873</v>
      </c>
      <c r="O13" s="2">
        <f ca="1">MAX(N13+Infectadas!O6*'Shock Tecnológico'!O6,N$42*Imitación!O6)*Viva!O6</f>
        <v>12.51479410179873</v>
      </c>
      <c r="P13" s="2">
        <f ca="1">MAX(O13+Infectadas!P6*'Shock Tecnológico'!P6,O$42*Imitación!P6)*Viva!P6</f>
        <v>12.51479410179873</v>
      </c>
      <c r="Q13" s="2">
        <f ca="1">MAX(P13+Infectadas!Q6*'Shock Tecnológico'!Q6,P$42*Imitación!Q6)*Viva!Q6</f>
        <v>12.51479410179873</v>
      </c>
      <c r="R13" s="2">
        <f ca="1">MAX(Q13+Infectadas!R6*'Shock Tecnológico'!R6,Q$42*Imitación!R6)*Viva!R6</f>
        <v>12.51479410179873</v>
      </c>
      <c r="S13" s="2">
        <f ca="1">MAX(R13+Infectadas!S6*'Shock Tecnológico'!S6,R$42*Imitación!S6)*Viva!S6</f>
        <v>0</v>
      </c>
      <c r="T13" s="2">
        <f ca="1">MAX(S13+Infectadas!T6*'Shock Tecnológico'!T6,S$42*Imitación!T6)*Viva!T6</f>
        <v>0</v>
      </c>
      <c r="U13" s="2">
        <f ca="1">MAX(T13+Infectadas!U6*'Shock Tecnológico'!U6,T$42*Imitación!U6)*Viva!U6</f>
        <v>0</v>
      </c>
      <c r="V13" s="2">
        <f ca="1">MAX(U13+Infectadas!V6*'Shock Tecnológico'!V6,U$42*Imitación!V6)*Viva!V6</f>
        <v>0</v>
      </c>
    </row>
    <row r="14" spans="1:22" s="2" customFormat="1" x14ac:dyDescent="0.35">
      <c r="A14" s="1">
        <v>4</v>
      </c>
      <c r="B14" s="2">
        <v>10</v>
      </c>
      <c r="C14" s="2">
        <f ca="1">MAX(B14+Infectadas!C7*'Shock Tecnológico'!C7,B$42*Imitación!C7)*Viva!C7</f>
        <v>9.950699791831763</v>
      </c>
      <c r="D14" s="2">
        <f ca="1">MAX(C14+Infectadas!D7*'Shock Tecnológico'!D7,C$42*Imitación!D7)*Viva!D7</f>
        <v>9.950699791831763</v>
      </c>
      <c r="E14" s="2">
        <f ca="1">MAX(D14+Infectadas!E7*'Shock Tecnológico'!E7,D$42*Imitación!E7)*Viva!E7</f>
        <v>11.110214191058491</v>
      </c>
      <c r="F14" s="2">
        <f ca="1">MAX(E14+Infectadas!F7*'Shock Tecnológico'!F7,E$42*Imitación!F7)*Viva!F7</f>
        <v>11.110214191058491</v>
      </c>
      <c r="G14" s="2">
        <f ca="1">MAX(F14+Infectadas!G7*'Shock Tecnológico'!G7,F$42*Imitación!G7)*Viva!G7</f>
        <v>11.110214191058491</v>
      </c>
      <c r="H14" s="2">
        <f ca="1">MAX(G14+Infectadas!H7*'Shock Tecnológico'!H7,G$42*Imitación!H7)*Viva!H7</f>
        <v>11.110214191058491</v>
      </c>
      <c r="I14" s="2">
        <f ca="1">MAX(H14+Infectadas!I7*'Shock Tecnológico'!I7,H$42*Imitación!I7)*Viva!I7</f>
        <v>12.022212488865708</v>
      </c>
      <c r="J14" s="2">
        <f ca="1">MAX(I14+Infectadas!J7*'Shock Tecnológico'!J7,I$42*Imitación!J7)*Viva!J7</f>
        <v>12.022212488865708</v>
      </c>
      <c r="K14" s="2">
        <f ca="1">MAX(J14+Infectadas!K7*'Shock Tecnológico'!K7,J$42*Imitación!K7)*Viva!K7</f>
        <v>12.022212488865708</v>
      </c>
      <c r="L14" s="2">
        <f ca="1">MAX(K14+Infectadas!L7*'Shock Tecnológico'!L7,K$42*Imitación!L7)*Viva!L7</f>
        <v>12.022212488865708</v>
      </c>
      <c r="M14" s="2">
        <f ca="1">MAX(L14+Infectadas!M7*'Shock Tecnológico'!M7,L$42*Imitación!M7)*Viva!M7</f>
        <v>12.51479410179873</v>
      </c>
      <c r="N14" s="2">
        <f ca="1">MAX(M14+Infectadas!N7*'Shock Tecnológico'!N7,M$42*Imitación!N7)*Viva!N7</f>
        <v>12.51479410179873</v>
      </c>
      <c r="O14" s="2">
        <f ca="1">MAX(N14+Infectadas!O7*'Shock Tecnológico'!O7,N$42*Imitación!O7)*Viva!O7</f>
        <v>11.378527280491031</v>
      </c>
      <c r="P14" s="2">
        <f ca="1">MAX(O14+Infectadas!P7*'Shock Tecnológico'!P7,O$42*Imitación!P7)*Viva!P7</f>
        <v>11.378527280491031</v>
      </c>
      <c r="Q14" s="2">
        <f ca="1">MAX(P14+Infectadas!Q7*'Shock Tecnológico'!Q7,P$42*Imitación!Q7)*Viva!Q7</f>
        <v>12.928633973138883</v>
      </c>
      <c r="R14" s="2">
        <f ca="1">MAX(Q14+Infectadas!R7*'Shock Tecnológico'!R7,Q$42*Imitación!R7)*Viva!R7</f>
        <v>12.928633973138883</v>
      </c>
      <c r="S14" s="2">
        <f ca="1">MAX(R14+Infectadas!S7*'Shock Tecnológico'!S7,R$42*Imitación!S7)*Viva!S7</f>
        <v>12.928633973138883</v>
      </c>
      <c r="T14" s="2">
        <f ca="1">MAX(S14+Infectadas!T7*'Shock Tecnológico'!T7,S$42*Imitación!T7)*Viva!T7</f>
        <v>13.311015380950879</v>
      </c>
      <c r="U14" s="2">
        <f ca="1">MAX(T14+Infectadas!U7*'Shock Tecnológico'!U7,T$42*Imitación!U7)*Viva!U7</f>
        <v>13.311015380950879</v>
      </c>
      <c r="V14" s="2">
        <f ca="1">MAX(U14+Infectadas!V7*'Shock Tecnológico'!V7,U$42*Imitación!V7)*Viva!V7</f>
        <v>13.311015380950879</v>
      </c>
    </row>
    <row r="15" spans="1:22" s="2" customFormat="1" x14ac:dyDescent="0.35">
      <c r="A15" s="1">
        <v>5</v>
      </c>
      <c r="B15" s="2">
        <v>10</v>
      </c>
      <c r="C15" s="2">
        <f ca="1">MAX(B15+Infectadas!C8*'Shock Tecnológico'!C8,B$42*Imitación!C8)*Viva!C8</f>
        <v>10</v>
      </c>
      <c r="D15" s="2">
        <f ca="1">MAX(C15+Infectadas!D8*'Shock Tecnológico'!D8,C$42*Imitación!D8)*Viva!D8</f>
        <v>10</v>
      </c>
      <c r="E15" s="2">
        <f ca="1">MAX(D15+Infectadas!E8*'Shock Tecnológico'!E8,D$42*Imitación!E8)*Viva!E8</f>
        <v>11.110214191058491</v>
      </c>
      <c r="F15" s="2">
        <f ca="1">MAX(E15+Infectadas!F8*'Shock Tecnológico'!F8,E$42*Imitación!F8)*Viva!F8</f>
        <v>11.110214191058491</v>
      </c>
      <c r="G15" s="2">
        <f ca="1">MAX(F15+Infectadas!G8*'Shock Tecnológico'!G8,F$42*Imitación!G8)*Viva!G8</f>
        <v>11.331741156961735</v>
      </c>
      <c r="H15" s="2">
        <f ca="1">MAX(G15+Infectadas!H8*'Shock Tecnológico'!H8,G$42*Imitación!H8)*Viva!H8</f>
        <v>12.022212488865708</v>
      </c>
      <c r="I15" s="2">
        <f ca="1">MAX(H15+Infectadas!I8*'Shock Tecnológico'!I8,H$42*Imitación!I8)*Viva!I8</f>
        <v>12.022212488865708</v>
      </c>
      <c r="J15" s="2">
        <f ca="1">MAX(I15+Infectadas!J8*'Shock Tecnológico'!J8,I$42*Imitación!J8)*Viva!J8</f>
        <v>12.022212488865708</v>
      </c>
      <c r="K15" s="2">
        <f ca="1">MAX(J15+Infectadas!K8*'Shock Tecnológico'!K8,J$42*Imitación!K8)*Viva!K8</f>
        <v>12.022212488865708</v>
      </c>
      <c r="L15" s="2">
        <f ca="1">MAX(K15+Infectadas!L8*'Shock Tecnológico'!L8,K$42*Imitación!L8)*Viva!L8</f>
        <v>12.022212488865708</v>
      </c>
      <c r="M15" s="2">
        <f ca="1">MAX(L15+Infectadas!M8*'Shock Tecnológico'!M8,L$42*Imitación!M8)*Viva!M8</f>
        <v>12.022212488865708</v>
      </c>
      <c r="N15" s="2">
        <f ca="1">MAX(M15+Infectadas!N8*'Shock Tecnológico'!N8,M$42*Imitación!N8)*Viva!N8</f>
        <v>12.022212488865708</v>
      </c>
      <c r="O15" s="2">
        <f ca="1">MAX(N15+Infectadas!O8*'Shock Tecnológico'!O8,N$42*Imitación!O8)*Viva!O8</f>
        <v>0</v>
      </c>
      <c r="P15" s="2">
        <f ca="1">MAX(O15+Infectadas!P8*'Shock Tecnológico'!P8,O$42*Imitación!P8)*Viva!P8</f>
        <v>0</v>
      </c>
      <c r="Q15" s="2">
        <f ca="1">MAX(P15+Infectadas!Q8*'Shock Tecnológico'!Q8,P$42*Imitación!Q8)*Viva!Q8</f>
        <v>0</v>
      </c>
      <c r="R15" s="2">
        <f ca="1">MAX(Q15+Infectadas!R8*'Shock Tecnológico'!R8,Q$42*Imitación!R8)*Viva!R8</f>
        <v>0</v>
      </c>
      <c r="S15" s="2">
        <f ca="1">MAX(R15+Infectadas!S8*'Shock Tecnológico'!S8,R$42*Imitación!S8)*Viva!S8</f>
        <v>0</v>
      </c>
      <c r="T15" s="2">
        <f ca="1">MAX(S15+Infectadas!T8*'Shock Tecnológico'!T8,S$42*Imitación!T8)*Viva!T8</f>
        <v>0</v>
      </c>
      <c r="U15" s="2">
        <f ca="1">MAX(T15+Infectadas!U8*'Shock Tecnológico'!U8,T$42*Imitación!U8)*Viva!U8</f>
        <v>0</v>
      </c>
      <c r="V15" s="2">
        <f ca="1">MAX(U15+Infectadas!V8*'Shock Tecnológico'!V8,U$42*Imitación!V8)*Viva!V8</f>
        <v>0</v>
      </c>
    </row>
    <row r="16" spans="1:22" s="2" customFormat="1" x14ac:dyDescent="0.35">
      <c r="A16" s="1">
        <v>6</v>
      </c>
      <c r="B16" s="2">
        <v>10</v>
      </c>
      <c r="C16" s="2">
        <f ca="1">MAX(B16+Infectadas!C9*'Shock Tecnológico'!C9,B$42*Imitación!C9)*Viva!C9</f>
        <v>9.2817252617497275</v>
      </c>
      <c r="D16" s="2">
        <f ca="1">MAX(C16+Infectadas!D9*'Shock Tecnológico'!D9,C$42*Imitación!D9)*Viva!D9</f>
        <v>11.110214191058491</v>
      </c>
      <c r="E16" s="2">
        <f ca="1">MAX(D16+Infectadas!E9*'Shock Tecnológico'!E9,D$42*Imitación!E9)*Viva!E9</f>
        <v>11.110214191058491</v>
      </c>
      <c r="F16" s="2">
        <f ca="1">MAX(E16+Infectadas!F9*'Shock Tecnológico'!F9,E$42*Imitación!F9)*Viva!F9</f>
        <v>11.110214191058491</v>
      </c>
      <c r="G16" s="2">
        <f ca="1">MAX(F16+Infectadas!G9*'Shock Tecnológico'!G9,F$42*Imitación!G9)*Viva!G9</f>
        <v>10.881016902352746</v>
      </c>
      <c r="H16" s="2">
        <f ca="1">MAX(G16+Infectadas!H9*'Shock Tecnológico'!H9,G$42*Imitación!H9)*Viva!H9</f>
        <v>10.881016902352746</v>
      </c>
      <c r="I16" s="2">
        <f ca="1">MAX(H16+Infectadas!I9*'Shock Tecnológico'!I9,H$42*Imitación!I9)*Viva!I9</f>
        <v>10.881016902352746</v>
      </c>
      <c r="J16" s="2">
        <f ca="1">MAX(I16+Infectadas!J9*'Shock Tecnológico'!J9,I$42*Imitación!J9)*Viva!J9</f>
        <v>10.881016902352746</v>
      </c>
      <c r="K16" s="2">
        <f ca="1">MAX(J16+Infectadas!K9*'Shock Tecnológico'!K9,J$42*Imitación!K9)*Viva!K9</f>
        <v>0</v>
      </c>
      <c r="L16" s="2">
        <f ca="1">MAX(K16+Infectadas!L9*'Shock Tecnológico'!L9,K$42*Imitación!L9)*Viva!L9</f>
        <v>0</v>
      </c>
      <c r="M16" s="2">
        <f ca="1">MAX(L16+Infectadas!M9*'Shock Tecnológico'!M9,L$42*Imitación!M9)*Viva!M9</f>
        <v>0</v>
      </c>
      <c r="N16" s="2">
        <f ca="1">MAX(M16+Infectadas!N9*'Shock Tecnológico'!N9,M$42*Imitación!N9)*Viva!N9</f>
        <v>0</v>
      </c>
      <c r="O16" s="2">
        <f ca="1">MAX(N16+Infectadas!O9*'Shock Tecnológico'!O9,N$42*Imitación!O9)*Viva!O9</f>
        <v>0</v>
      </c>
      <c r="P16" s="2">
        <f ca="1">MAX(O16+Infectadas!P9*'Shock Tecnológico'!P9,O$42*Imitación!P9)*Viva!P9</f>
        <v>0</v>
      </c>
      <c r="Q16" s="2">
        <f ca="1">MAX(P16+Infectadas!Q9*'Shock Tecnológico'!Q9,P$42*Imitación!Q9)*Viva!Q9</f>
        <v>0</v>
      </c>
      <c r="R16" s="2">
        <f ca="1">MAX(Q16+Infectadas!R9*'Shock Tecnológico'!R9,Q$42*Imitación!R9)*Viva!R9</f>
        <v>0</v>
      </c>
      <c r="S16" s="2">
        <f ca="1">MAX(R16+Infectadas!S9*'Shock Tecnológico'!S9,R$42*Imitación!S9)*Viva!S9</f>
        <v>0</v>
      </c>
      <c r="T16" s="2">
        <f ca="1">MAX(S16+Infectadas!T9*'Shock Tecnológico'!T9,S$42*Imitación!T9)*Viva!T9</f>
        <v>0</v>
      </c>
      <c r="U16" s="2">
        <f ca="1">MAX(T16+Infectadas!U9*'Shock Tecnológico'!U9,T$42*Imitación!U9)*Viva!U9</f>
        <v>0</v>
      </c>
      <c r="V16" s="2">
        <f ca="1">MAX(U16+Infectadas!V9*'Shock Tecnológico'!V9,U$42*Imitación!V9)*Viva!V9</f>
        <v>0</v>
      </c>
    </row>
    <row r="17" spans="1:22" s="2" customFormat="1" x14ac:dyDescent="0.35">
      <c r="A17" s="1">
        <v>7</v>
      </c>
      <c r="B17" s="2">
        <v>10</v>
      </c>
      <c r="C17" s="2">
        <f ca="1">MAX(B17+Infectadas!C10*'Shock Tecnológico'!C10,B$42*Imitación!C10)*Viva!C10</f>
        <v>10.211017427807064</v>
      </c>
      <c r="D17" s="2">
        <f ca="1">MAX(C17+Infectadas!D10*'Shock Tecnológico'!D10,C$42*Imitación!D10)*Viva!D10</f>
        <v>10.211017427807064</v>
      </c>
      <c r="E17" s="2">
        <f ca="1">MAX(D17+Infectadas!E10*'Shock Tecnológico'!E10,D$42*Imitación!E10)*Viva!E10</f>
        <v>10.211017427807064</v>
      </c>
      <c r="F17" s="2">
        <f ca="1">MAX(E17+Infectadas!F10*'Shock Tecnológico'!F10,E$42*Imitación!F10)*Viva!F10</f>
        <v>11.110214191058491</v>
      </c>
      <c r="G17" s="2">
        <f ca="1">MAX(F17+Infectadas!G10*'Shock Tecnológico'!G10,F$42*Imitación!G10)*Viva!G10</f>
        <v>11.110214191058491</v>
      </c>
      <c r="H17" s="2">
        <f ca="1">MAX(G17+Infectadas!H10*'Shock Tecnológico'!H10,G$42*Imitación!H10)*Viva!H10</f>
        <v>12.022212488865708</v>
      </c>
      <c r="I17" s="2">
        <f ca="1">MAX(H17+Infectadas!I10*'Shock Tecnológico'!I10,H$42*Imitación!I10)*Viva!I10</f>
        <v>12.022212488865708</v>
      </c>
      <c r="J17" s="2">
        <f ca="1">MAX(I17+Infectadas!J10*'Shock Tecnológico'!J10,I$42*Imitación!J10)*Viva!J10</f>
        <v>12.022212488865708</v>
      </c>
      <c r="K17" s="2">
        <f ca="1">MAX(J17+Infectadas!K10*'Shock Tecnológico'!K10,J$42*Imitación!K10)*Viva!K10</f>
        <v>12.060087956665905</v>
      </c>
      <c r="L17" s="2">
        <f ca="1">MAX(K17+Infectadas!L10*'Shock Tecnológico'!L10,K$42*Imitación!L10)*Viva!L10</f>
        <v>12.51479410179873</v>
      </c>
      <c r="M17" s="2">
        <f ca="1">MAX(L17+Infectadas!M10*'Shock Tecnológico'!M10,L$42*Imitación!M10)*Viva!M10</f>
        <v>12.51479410179873</v>
      </c>
      <c r="N17" s="2">
        <f ca="1">MAX(M17+Infectadas!N10*'Shock Tecnológico'!N10,M$42*Imitación!N10)*Viva!N10</f>
        <v>12.51479410179873</v>
      </c>
      <c r="O17" s="2">
        <f ca="1">MAX(N17+Infectadas!O10*'Shock Tecnológico'!O10,N$42*Imitación!O10)*Viva!O10</f>
        <v>12.51479410179873</v>
      </c>
      <c r="P17" s="2">
        <f ca="1">MAX(O17+Infectadas!P10*'Shock Tecnológico'!P10,O$42*Imitación!P10)*Viva!P10</f>
        <v>12.51479410179873</v>
      </c>
      <c r="Q17" s="2">
        <f ca="1">MAX(P17+Infectadas!Q10*'Shock Tecnológico'!Q10,P$42*Imitación!Q10)*Viva!Q10</f>
        <v>12.51479410179873</v>
      </c>
      <c r="R17" s="2">
        <f ca="1">MAX(Q17+Infectadas!R10*'Shock Tecnológico'!R10,Q$42*Imitación!R10)*Viva!R10</f>
        <v>12.51479410179873</v>
      </c>
      <c r="S17" s="2">
        <f ca="1">MAX(R17+Infectadas!S10*'Shock Tecnológico'!S10,R$42*Imitación!S10)*Viva!S10</f>
        <v>0</v>
      </c>
      <c r="T17" s="2">
        <f ca="1">MAX(S17+Infectadas!T10*'Shock Tecnológico'!T10,S$42*Imitación!T10)*Viva!T10</f>
        <v>0</v>
      </c>
      <c r="U17" s="2">
        <f ca="1">MAX(T17+Infectadas!U10*'Shock Tecnológico'!U10,T$42*Imitación!U10)*Viva!U10</f>
        <v>0</v>
      </c>
      <c r="V17" s="2">
        <f ca="1">MAX(U17+Infectadas!V10*'Shock Tecnológico'!V10,U$42*Imitación!V10)*Viva!V10</f>
        <v>0</v>
      </c>
    </row>
    <row r="18" spans="1:22" s="2" customFormat="1" x14ac:dyDescent="0.35">
      <c r="A18" s="1">
        <v>8</v>
      </c>
      <c r="B18" s="2">
        <v>10</v>
      </c>
      <c r="C18" s="2">
        <f ca="1">MAX(B18+Infectadas!C11*'Shock Tecnológico'!C11,B$42*Imitación!C11)*Viva!C11</f>
        <v>10</v>
      </c>
      <c r="D18" s="2">
        <f ca="1">MAX(C18+Infectadas!D11*'Shock Tecnológico'!D11,C$42*Imitación!D11)*Viva!D11</f>
        <v>11.110214191058491</v>
      </c>
      <c r="E18" s="2">
        <f ca="1">MAX(D18+Infectadas!E11*'Shock Tecnológico'!E11,D$42*Imitación!E11)*Viva!E11</f>
        <v>11.110214191058491</v>
      </c>
      <c r="F18" s="2">
        <f ca="1">MAX(E18+Infectadas!F11*'Shock Tecnológico'!F11,E$42*Imitación!F11)*Viva!F11</f>
        <v>11.110214191058491</v>
      </c>
      <c r="G18" s="2">
        <f ca="1">MAX(F18+Infectadas!G11*'Shock Tecnológico'!G11,F$42*Imitación!G11)*Viva!G11</f>
        <v>12.022212488865708</v>
      </c>
      <c r="H18" s="2">
        <f ca="1">MAX(G18+Infectadas!H11*'Shock Tecnológico'!H11,G$42*Imitación!H11)*Viva!H11</f>
        <v>12.022212488865708</v>
      </c>
      <c r="I18" s="2">
        <f ca="1">MAX(H18+Infectadas!I11*'Shock Tecnológico'!I11,H$42*Imitación!I11)*Viva!I11</f>
        <v>12.022212488865708</v>
      </c>
      <c r="J18" s="2">
        <f ca="1">MAX(I18+Infectadas!J11*'Shock Tecnológico'!J11,I$42*Imitación!J11)*Viva!J11</f>
        <v>12.022212488865708</v>
      </c>
      <c r="K18" s="2">
        <f ca="1">MAX(J18+Infectadas!K11*'Shock Tecnológico'!K11,J$42*Imitación!K11)*Viva!K11</f>
        <v>12.022212488865708</v>
      </c>
      <c r="L18" s="2">
        <f ca="1">MAX(K18+Infectadas!L11*'Shock Tecnológico'!L11,K$42*Imitación!L11)*Viva!L11</f>
        <v>12.022212488865708</v>
      </c>
      <c r="M18" s="2">
        <f ca="1">MAX(L18+Infectadas!M11*'Shock Tecnológico'!M11,L$42*Imitación!M11)*Viva!M11</f>
        <v>12.51479410179873</v>
      </c>
      <c r="N18" s="2">
        <f ca="1">MAX(M18+Infectadas!N11*'Shock Tecnológico'!N11,M$42*Imitación!N11)*Viva!N11</f>
        <v>12.51479410179873</v>
      </c>
      <c r="O18" s="2">
        <f ca="1">MAX(N18+Infectadas!O11*'Shock Tecnológico'!O11,N$42*Imitación!O11)*Viva!O11</f>
        <v>12.349411165778953</v>
      </c>
      <c r="P18" s="2">
        <f ca="1">MAX(O18+Infectadas!P11*'Shock Tecnológico'!P11,O$42*Imitación!P11)*Viva!P11</f>
        <v>12.349411165778953</v>
      </c>
      <c r="Q18" s="2">
        <f ca="1">MAX(P18+Infectadas!Q11*'Shock Tecnológico'!Q11,P$42*Imitación!Q11)*Viva!Q11</f>
        <v>12.349411165778953</v>
      </c>
      <c r="R18" s="2">
        <f ca="1">MAX(Q18+Infectadas!R11*'Shock Tecnológico'!R11,Q$42*Imitación!R11)*Viva!R11</f>
        <v>12.349411165778953</v>
      </c>
      <c r="S18" s="2">
        <f ca="1">MAX(R18+Infectadas!S11*'Shock Tecnológico'!S11,R$42*Imitación!S11)*Viva!S11</f>
        <v>0</v>
      </c>
      <c r="T18" s="2">
        <f ca="1">MAX(S18+Infectadas!T11*'Shock Tecnológico'!T11,S$42*Imitación!T11)*Viva!T11</f>
        <v>0</v>
      </c>
      <c r="U18" s="2">
        <f ca="1">MAX(T18+Infectadas!U11*'Shock Tecnológico'!U11,T$42*Imitación!U11)*Viva!U11</f>
        <v>0</v>
      </c>
      <c r="V18" s="2">
        <f ca="1">MAX(U18+Infectadas!V11*'Shock Tecnológico'!V11,U$42*Imitación!V11)*Viva!V11</f>
        <v>0</v>
      </c>
    </row>
    <row r="19" spans="1:22" s="2" customFormat="1" x14ac:dyDescent="0.35">
      <c r="A19" s="1">
        <v>9</v>
      </c>
      <c r="B19" s="2">
        <v>10</v>
      </c>
      <c r="C19" s="2">
        <f ca="1">MAX(B19+Infectadas!C12*'Shock Tecnológico'!C12,B$42*Imitación!C12)*Viva!C12</f>
        <v>10.313613413250756</v>
      </c>
      <c r="D19" s="2">
        <f ca="1">MAX(C19+Infectadas!D12*'Shock Tecnológico'!D12,C$42*Imitación!D12)*Viva!D12</f>
        <v>11.110214191058491</v>
      </c>
      <c r="E19" s="2">
        <f ca="1">MAX(D19+Infectadas!E12*'Shock Tecnológico'!E12,D$42*Imitación!E12)*Viva!E12</f>
        <v>11.110214191058491</v>
      </c>
      <c r="F19" s="2">
        <f ca="1">MAX(E19+Infectadas!F12*'Shock Tecnológico'!F12,E$42*Imitación!F12)*Viva!F12</f>
        <v>11.110214191058491</v>
      </c>
      <c r="G19" s="2">
        <f ca="1">MAX(F19+Infectadas!G12*'Shock Tecnológico'!G12,F$42*Imitación!G12)*Viva!G12</f>
        <v>11.360819105633363</v>
      </c>
      <c r="H19" s="2">
        <f ca="1">MAX(G19+Infectadas!H12*'Shock Tecnológico'!H12,G$42*Imitación!H12)*Viva!H12</f>
        <v>11.360819105633363</v>
      </c>
      <c r="I19" s="2">
        <f ca="1">MAX(H19+Infectadas!I12*'Shock Tecnológico'!I12,H$42*Imitación!I12)*Viva!I12</f>
        <v>11.360819105633363</v>
      </c>
      <c r="J19" s="2">
        <f ca="1">MAX(I19+Infectadas!J12*'Shock Tecnológico'!J12,I$42*Imitación!J12)*Viva!J12</f>
        <v>11.360819105633363</v>
      </c>
      <c r="K19" s="2">
        <f ca="1">MAX(J19+Infectadas!K12*'Shock Tecnológico'!K12,J$42*Imitación!K12)*Viva!K12</f>
        <v>0</v>
      </c>
      <c r="L19" s="2">
        <f ca="1">MAX(K19+Infectadas!L12*'Shock Tecnológico'!L12,K$42*Imitación!L12)*Viva!L12</f>
        <v>0</v>
      </c>
      <c r="M19" s="2">
        <f ca="1">MAX(L19+Infectadas!M12*'Shock Tecnológico'!M12,L$42*Imitación!M12)*Viva!M12</f>
        <v>0</v>
      </c>
      <c r="N19" s="2">
        <f ca="1">MAX(M19+Infectadas!N12*'Shock Tecnológico'!N12,M$42*Imitación!N12)*Viva!N12</f>
        <v>0</v>
      </c>
      <c r="O19" s="2">
        <f ca="1">MAX(N19+Infectadas!O12*'Shock Tecnológico'!O12,N$42*Imitación!O12)*Viva!O12</f>
        <v>0</v>
      </c>
      <c r="P19" s="2">
        <f ca="1">MAX(O19+Infectadas!P12*'Shock Tecnológico'!P12,O$42*Imitación!P12)*Viva!P12</f>
        <v>0</v>
      </c>
      <c r="Q19" s="2">
        <f ca="1">MAX(P19+Infectadas!Q12*'Shock Tecnológico'!Q12,P$42*Imitación!Q12)*Viva!Q12</f>
        <v>0</v>
      </c>
      <c r="R19" s="2">
        <f ca="1">MAX(Q19+Infectadas!R12*'Shock Tecnológico'!R12,Q$42*Imitación!R12)*Viva!R12</f>
        <v>0</v>
      </c>
      <c r="S19" s="2">
        <f ca="1">MAX(R19+Infectadas!S12*'Shock Tecnológico'!S12,R$42*Imitación!S12)*Viva!S12</f>
        <v>0</v>
      </c>
      <c r="T19" s="2">
        <f ca="1">MAX(S19+Infectadas!T12*'Shock Tecnológico'!T12,S$42*Imitación!T12)*Viva!T12</f>
        <v>0</v>
      </c>
      <c r="U19" s="2">
        <f ca="1">MAX(T19+Infectadas!U12*'Shock Tecnológico'!U12,T$42*Imitación!U12)*Viva!U12</f>
        <v>0</v>
      </c>
      <c r="V19" s="2">
        <f ca="1">MAX(U19+Infectadas!V12*'Shock Tecnológico'!V12,U$42*Imitación!V12)*Viva!V12</f>
        <v>0</v>
      </c>
    </row>
    <row r="20" spans="1:22" s="2" customFormat="1" x14ac:dyDescent="0.35">
      <c r="A20" s="1">
        <v>10</v>
      </c>
      <c r="B20" s="2">
        <v>10</v>
      </c>
      <c r="C20" s="2">
        <f ca="1">MAX(B20+Infectadas!C13*'Shock Tecnológico'!C13,B$42*Imitación!C13)*Viva!C13</f>
        <v>9.6996263936357572</v>
      </c>
      <c r="D20" s="2">
        <f ca="1">MAX(C20+Infectadas!D13*'Shock Tecnológico'!D13,C$42*Imitación!D13)*Viva!D13</f>
        <v>9.6996263936357572</v>
      </c>
      <c r="E20" s="2">
        <f ca="1">MAX(D20+Infectadas!E13*'Shock Tecnológico'!E13,D$42*Imitación!E13)*Viva!E13</f>
        <v>9.6996263936357572</v>
      </c>
      <c r="F20" s="2">
        <f ca="1">MAX(E20+Infectadas!F13*'Shock Tecnológico'!F13,E$42*Imitación!F13)*Viva!F13</f>
        <v>9.6996263936357572</v>
      </c>
      <c r="G20" s="2">
        <f ca="1">MAX(F20+Infectadas!G13*'Shock Tecnológico'!G13,F$42*Imitación!G13)*Viva!G13</f>
        <v>0</v>
      </c>
      <c r="H20" s="2">
        <f ca="1">MAX(G20+Infectadas!H13*'Shock Tecnológico'!H13,G$42*Imitación!H13)*Viva!H13</f>
        <v>0</v>
      </c>
      <c r="I20" s="2">
        <f ca="1">MAX(H20+Infectadas!I13*'Shock Tecnológico'!I13,H$42*Imitación!I13)*Viva!I13</f>
        <v>0</v>
      </c>
      <c r="J20" s="2">
        <f ca="1">MAX(I20+Infectadas!J13*'Shock Tecnológico'!J13,I$42*Imitación!J13)*Viva!J13</f>
        <v>0</v>
      </c>
      <c r="K20" s="2">
        <f ca="1">MAX(J20+Infectadas!K13*'Shock Tecnológico'!K13,J$42*Imitación!K13)*Viva!K13</f>
        <v>0</v>
      </c>
      <c r="L20" s="2">
        <f ca="1">MAX(K20+Infectadas!L13*'Shock Tecnológico'!L13,K$42*Imitación!L13)*Viva!L13</f>
        <v>0</v>
      </c>
      <c r="M20" s="2">
        <f ca="1">MAX(L20+Infectadas!M13*'Shock Tecnológico'!M13,L$42*Imitación!M13)*Viva!M13</f>
        <v>0</v>
      </c>
      <c r="N20" s="2">
        <f ca="1">MAX(M20+Infectadas!N13*'Shock Tecnológico'!N13,M$42*Imitación!N13)*Viva!N13</f>
        <v>0</v>
      </c>
      <c r="O20" s="2">
        <f ca="1">MAX(N20+Infectadas!O13*'Shock Tecnológico'!O13,N$42*Imitación!O13)*Viva!O13</f>
        <v>0</v>
      </c>
      <c r="P20" s="2">
        <f ca="1">MAX(O20+Infectadas!P13*'Shock Tecnológico'!P13,O$42*Imitación!P13)*Viva!P13</f>
        <v>0</v>
      </c>
      <c r="Q20" s="2">
        <f ca="1">MAX(P20+Infectadas!Q13*'Shock Tecnológico'!Q13,P$42*Imitación!Q13)*Viva!Q13</f>
        <v>0</v>
      </c>
      <c r="R20" s="2">
        <f ca="1">MAX(Q20+Infectadas!R13*'Shock Tecnológico'!R13,Q$42*Imitación!R13)*Viva!R13</f>
        <v>0</v>
      </c>
      <c r="S20" s="2">
        <f ca="1">MAX(R20+Infectadas!S13*'Shock Tecnológico'!S13,R$42*Imitación!S13)*Viva!S13</f>
        <v>0</v>
      </c>
      <c r="T20" s="2">
        <f ca="1">MAX(S20+Infectadas!T13*'Shock Tecnológico'!T13,S$42*Imitación!T13)*Viva!T13</f>
        <v>0</v>
      </c>
      <c r="U20" s="2">
        <f ca="1">MAX(T20+Infectadas!U13*'Shock Tecnológico'!U13,T$42*Imitación!U13)*Viva!U13</f>
        <v>0</v>
      </c>
      <c r="V20" s="2">
        <f ca="1">MAX(U20+Infectadas!V13*'Shock Tecnológico'!V13,U$42*Imitación!V13)*Viva!V13</f>
        <v>0</v>
      </c>
    </row>
    <row r="21" spans="1:22" s="2" customFormat="1" x14ac:dyDescent="0.35">
      <c r="A21" s="1">
        <v>11</v>
      </c>
      <c r="B21" s="2">
        <v>10</v>
      </c>
      <c r="C21" s="2">
        <f ca="1">MAX(B21+Infectadas!C14*'Shock Tecnológico'!C14,B$42*Imitación!C14)*Viva!C14</f>
        <v>10.475760081732629</v>
      </c>
      <c r="D21" s="2">
        <f ca="1">MAX(C21+Infectadas!D14*'Shock Tecnológico'!D14,C$42*Imitación!D14)*Viva!D14</f>
        <v>10.475760081732629</v>
      </c>
      <c r="E21" s="2">
        <f ca="1">MAX(D21+Infectadas!E14*'Shock Tecnológico'!E14,D$42*Imitación!E14)*Viva!E14</f>
        <v>11.110214191058491</v>
      </c>
      <c r="F21" s="2">
        <f ca="1">MAX(E21+Infectadas!F14*'Shock Tecnológico'!F14,E$42*Imitación!F14)*Viva!F14</f>
        <v>11.110214191058491</v>
      </c>
      <c r="G21" s="2">
        <f ca="1">MAX(F21+Infectadas!G14*'Shock Tecnológico'!G14,F$42*Imitación!G14)*Viva!G14</f>
        <v>11.533663631316047</v>
      </c>
      <c r="H21" s="2">
        <f ca="1">MAX(G21+Infectadas!H14*'Shock Tecnológico'!H14,G$42*Imitación!H14)*Viva!H14</f>
        <v>11.533663631316047</v>
      </c>
      <c r="I21" s="2">
        <f ca="1">MAX(H21+Infectadas!I14*'Shock Tecnológico'!I14,H$42*Imitación!I14)*Viva!I14</f>
        <v>11.533663631316047</v>
      </c>
      <c r="J21" s="2">
        <f ca="1">MAX(I21+Infectadas!J14*'Shock Tecnológico'!J14,I$42*Imitación!J14)*Viva!J14</f>
        <v>12.022212488865708</v>
      </c>
      <c r="K21" s="2">
        <f ca="1">MAX(J21+Infectadas!K14*'Shock Tecnológico'!K14,J$42*Imitación!K14)*Viva!K14</f>
        <v>11.409001336856047</v>
      </c>
      <c r="L21" s="2">
        <f ca="1">MAX(K21+Infectadas!L14*'Shock Tecnológico'!L14,K$42*Imitación!L14)*Viva!L14</f>
        <v>11.409001336856047</v>
      </c>
      <c r="M21" s="2">
        <f ca="1">MAX(L21+Infectadas!M14*'Shock Tecnológico'!M14,L$42*Imitación!M14)*Viva!M14</f>
        <v>11.409001336856047</v>
      </c>
      <c r="N21" s="2">
        <f ca="1">MAX(M21+Infectadas!N14*'Shock Tecnológico'!N14,M$42*Imitación!N14)*Viva!N14</f>
        <v>12.51479410179873</v>
      </c>
      <c r="O21" s="2">
        <f ca="1">MAX(N21+Infectadas!O14*'Shock Tecnológico'!O14,N$42*Imitación!O14)*Viva!O14</f>
        <v>11.636167809084721</v>
      </c>
      <c r="P21" s="2">
        <f ca="1">MAX(O21+Infectadas!P14*'Shock Tecnológico'!P14,O$42*Imitación!P14)*Viva!P14</f>
        <v>11.636167809084721</v>
      </c>
      <c r="Q21" s="2">
        <f ca="1">MAX(P21+Infectadas!Q14*'Shock Tecnológico'!Q14,P$42*Imitación!Q14)*Viva!Q14</f>
        <v>11.636167809084721</v>
      </c>
      <c r="R21" s="2">
        <f ca="1">MAX(Q21+Infectadas!R14*'Shock Tecnológico'!R14,Q$42*Imitación!R14)*Viva!R14</f>
        <v>12.928633973138883</v>
      </c>
      <c r="S21" s="2">
        <f ca="1">MAX(R21+Infectadas!S14*'Shock Tecnológico'!S14,R$42*Imitación!S14)*Viva!S14</f>
        <v>12.652729652114834</v>
      </c>
      <c r="T21" s="2">
        <f ca="1">MAX(S21+Infectadas!T14*'Shock Tecnológico'!T14,S$42*Imitación!T14)*Viva!T14</f>
        <v>12.652729652114834</v>
      </c>
      <c r="U21" s="2">
        <f ca="1">MAX(T21+Infectadas!U14*'Shock Tecnológico'!U14,T$42*Imitación!U14)*Viva!U14</f>
        <v>12.652729652114834</v>
      </c>
      <c r="V21" s="2">
        <f ca="1">MAX(U21+Infectadas!V14*'Shock Tecnológico'!V14,U$42*Imitación!V14)*Viva!V14</f>
        <v>12.652729652114834</v>
      </c>
    </row>
    <row r="22" spans="1:22" s="2" customFormat="1" x14ac:dyDescent="0.35">
      <c r="A22" s="1">
        <v>12</v>
      </c>
      <c r="B22" s="2">
        <v>10</v>
      </c>
      <c r="C22" s="2">
        <f ca="1">MAX(B22+Infectadas!C15*'Shock Tecnológico'!C15,B$42*Imitación!C15)*Viva!C15</f>
        <v>10.53318437292285</v>
      </c>
      <c r="D22" s="2">
        <f ca="1">MAX(C22+Infectadas!D15*'Shock Tecnológico'!D15,C$42*Imitación!D15)*Viva!D15</f>
        <v>11.110214191058491</v>
      </c>
      <c r="E22" s="2">
        <f ca="1">MAX(D22+Infectadas!E15*'Shock Tecnológico'!E15,D$42*Imitación!E15)*Viva!E15</f>
        <v>11.110214191058491</v>
      </c>
      <c r="F22" s="2">
        <f ca="1">MAX(E22+Infectadas!F15*'Shock Tecnológico'!F15,E$42*Imitación!F15)*Viva!F15</f>
        <v>11.110214191058491</v>
      </c>
      <c r="G22" s="2">
        <f ca="1">MAX(F22+Infectadas!G15*'Shock Tecnológico'!G15,F$42*Imitación!G15)*Viva!G15</f>
        <v>10.30109435961359</v>
      </c>
      <c r="H22" s="2">
        <f ca="1">MAX(G22+Infectadas!H15*'Shock Tecnológico'!H15,G$42*Imitación!H15)*Viva!H15</f>
        <v>10.30109435961359</v>
      </c>
      <c r="I22" s="2">
        <f ca="1">MAX(H22+Infectadas!I15*'Shock Tecnológico'!I15,H$42*Imitación!I15)*Viva!I15</f>
        <v>10.30109435961359</v>
      </c>
      <c r="J22" s="2">
        <f ca="1">MAX(I22+Infectadas!J15*'Shock Tecnológico'!J15,I$42*Imitación!J15)*Viva!J15</f>
        <v>12.022212488865708</v>
      </c>
      <c r="K22" s="2">
        <f ca="1">MAX(J22+Infectadas!K15*'Shock Tecnológico'!K15,J$42*Imitación!K15)*Viva!K15</f>
        <v>12.51479410179873</v>
      </c>
      <c r="L22" s="2">
        <f ca="1">MAX(K22+Infectadas!L15*'Shock Tecnológico'!L15,K$42*Imitación!L15)*Viva!L15</f>
        <v>12.51479410179873</v>
      </c>
      <c r="M22" s="2">
        <f ca="1">MAX(L22+Infectadas!M15*'Shock Tecnológico'!M15,L$42*Imitación!M15)*Viva!M15</f>
        <v>12.51479410179873</v>
      </c>
      <c r="N22" s="2">
        <f ca="1">MAX(M22+Infectadas!N15*'Shock Tecnológico'!N15,M$42*Imitación!N15)*Viva!N15</f>
        <v>12.51479410179873</v>
      </c>
      <c r="O22" s="2">
        <f ca="1">MAX(N22+Infectadas!O15*'Shock Tecnológico'!O15,N$42*Imitación!O15)*Viva!O15</f>
        <v>12.51479410179873</v>
      </c>
      <c r="P22" s="2">
        <f ca="1">MAX(O22+Infectadas!P15*'Shock Tecnológico'!P15,O$42*Imitación!P15)*Viva!P15</f>
        <v>12.51479410179873</v>
      </c>
      <c r="Q22" s="2">
        <f ca="1">MAX(P22+Infectadas!Q15*'Shock Tecnológico'!Q15,P$42*Imitación!Q15)*Viva!Q15</f>
        <v>12.928633973138883</v>
      </c>
      <c r="R22" s="2">
        <f ca="1">MAX(Q22+Infectadas!R15*'Shock Tecnológico'!R15,Q$42*Imitación!R15)*Viva!R15</f>
        <v>12.928633973138883</v>
      </c>
      <c r="S22" s="2">
        <f ca="1">MAX(R22+Infectadas!S15*'Shock Tecnológico'!S15,R$42*Imitación!S15)*Viva!S15</f>
        <v>12.776972668195556</v>
      </c>
      <c r="T22" s="2">
        <f ca="1">MAX(S22+Infectadas!T15*'Shock Tecnológico'!T15,S$42*Imitación!T15)*Viva!T15</f>
        <v>13.311015380950879</v>
      </c>
      <c r="U22" s="2">
        <f ca="1">MAX(T22+Infectadas!U15*'Shock Tecnológico'!U15,T$42*Imitación!U15)*Viva!U15</f>
        <v>13.311015380950879</v>
      </c>
      <c r="V22" s="2">
        <f ca="1">MAX(U22+Infectadas!V15*'Shock Tecnológico'!V15,U$42*Imitación!V15)*Viva!V15</f>
        <v>13.311015380950879</v>
      </c>
    </row>
    <row r="23" spans="1:22" s="2" customFormat="1" x14ac:dyDescent="0.35">
      <c r="A23" s="1">
        <v>13</v>
      </c>
      <c r="B23" s="2">
        <v>10</v>
      </c>
      <c r="C23" s="2">
        <f ca="1">MAX(B23+Infectadas!C16*'Shock Tecnológico'!C16,B$42*Imitación!C16)*Viva!C16</f>
        <v>9.9337459375493804</v>
      </c>
      <c r="D23" s="2">
        <f ca="1">MAX(C23+Infectadas!D16*'Shock Tecnológico'!D16,C$42*Imitación!D16)*Viva!D16</f>
        <v>9.9337459375493804</v>
      </c>
      <c r="E23" s="2">
        <f ca="1">MAX(D23+Infectadas!E16*'Shock Tecnológico'!E16,D$42*Imitación!E16)*Viva!E16</f>
        <v>11.110214191058491</v>
      </c>
      <c r="F23" s="2">
        <f ca="1">MAX(E23+Infectadas!F16*'Shock Tecnológico'!F16,E$42*Imitación!F16)*Viva!F16</f>
        <v>11.110214191058491</v>
      </c>
      <c r="G23" s="2">
        <f ca="1">MAX(F23+Infectadas!G16*'Shock Tecnológico'!G16,F$42*Imitación!G16)*Viva!G16</f>
        <v>10.152187596050659</v>
      </c>
      <c r="H23" s="2">
        <f ca="1">MAX(G23+Infectadas!H16*'Shock Tecnológico'!H16,G$42*Imitación!H16)*Viva!H16</f>
        <v>10.152187596050659</v>
      </c>
      <c r="I23" s="2">
        <f ca="1">MAX(H23+Infectadas!I16*'Shock Tecnológico'!I16,H$42*Imitación!I16)*Viva!I16</f>
        <v>10.152187596050659</v>
      </c>
      <c r="J23" s="2">
        <f ca="1">MAX(I23+Infectadas!J16*'Shock Tecnológico'!J16,I$42*Imitación!J16)*Viva!J16</f>
        <v>10.152187596050659</v>
      </c>
      <c r="K23" s="2">
        <f ca="1">MAX(J23+Infectadas!K16*'Shock Tecnológico'!K16,J$42*Imitación!K16)*Viva!K16</f>
        <v>0</v>
      </c>
      <c r="L23" s="2">
        <f ca="1">MAX(K23+Infectadas!L16*'Shock Tecnológico'!L16,K$42*Imitación!L16)*Viva!L16</f>
        <v>0</v>
      </c>
      <c r="M23" s="2">
        <f ca="1">MAX(L23+Infectadas!M16*'Shock Tecnológico'!M16,L$42*Imitación!M16)*Viva!M16</f>
        <v>0</v>
      </c>
      <c r="N23" s="2">
        <f ca="1">MAX(M23+Infectadas!N16*'Shock Tecnológico'!N16,M$42*Imitación!N16)*Viva!N16</f>
        <v>0</v>
      </c>
      <c r="O23" s="2">
        <f ca="1">MAX(N23+Infectadas!O16*'Shock Tecnológico'!O16,N$42*Imitación!O16)*Viva!O16</f>
        <v>0</v>
      </c>
      <c r="P23" s="2">
        <f ca="1">MAX(O23+Infectadas!P16*'Shock Tecnológico'!P16,O$42*Imitación!P16)*Viva!P16</f>
        <v>0</v>
      </c>
      <c r="Q23" s="2">
        <f ca="1">MAX(P23+Infectadas!Q16*'Shock Tecnológico'!Q16,P$42*Imitación!Q16)*Viva!Q16</f>
        <v>0</v>
      </c>
      <c r="R23" s="2">
        <f ca="1">MAX(Q23+Infectadas!R16*'Shock Tecnológico'!R16,Q$42*Imitación!R16)*Viva!R16</f>
        <v>0</v>
      </c>
      <c r="S23" s="2">
        <f ca="1">MAX(R23+Infectadas!S16*'Shock Tecnológico'!S16,R$42*Imitación!S16)*Viva!S16</f>
        <v>0</v>
      </c>
      <c r="T23" s="2">
        <f ca="1">MAX(S23+Infectadas!T16*'Shock Tecnológico'!T16,S$42*Imitación!T16)*Viva!T16</f>
        <v>0</v>
      </c>
      <c r="U23" s="2">
        <f ca="1">MAX(T23+Infectadas!U16*'Shock Tecnológico'!U16,T$42*Imitación!U16)*Viva!U16</f>
        <v>0</v>
      </c>
      <c r="V23" s="2">
        <f ca="1">MAX(U23+Infectadas!V16*'Shock Tecnológico'!V16,U$42*Imitación!V16)*Viva!V16</f>
        <v>0</v>
      </c>
    </row>
    <row r="24" spans="1:22" s="2" customFormat="1" x14ac:dyDescent="0.35">
      <c r="A24" s="1">
        <v>14</v>
      </c>
      <c r="B24" s="2">
        <v>10</v>
      </c>
      <c r="C24" s="2">
        <f ca="1">MAX(B24+Infectadas!C17*'Shock Tecnológico'!C17,B$42*Imitación!C17)*Viva!C17</f>
        <v>10</v>
      </c>
      <c r="D24" s="2">
        <f ca="1">MAX(C24+Infectadas!D17*'Shock Tecnológico'!D17,C$42*Imitación!D17)*Viva!D17</f>
        <v>10</v>
      </c>
      <c r="E24" s="2">
        <f ca="1">MAX(D24+Infectadas!E17*'Shock Tecnológico'!E17,D$42*Imitación!E17)*Viva!E17</f>
        <v>10</v>
      </c>
      <c r="F24" s="2">
        <f ca="1">MAX(E24+Infectadas!F17*'Shock Tecnológico'!F17,E$42*Imitación!F17)*Viva!F17</f>
        <v>11.110214191058491</v>
      </c>
      <c r="G24" s="2">
        <f ca="1">MAX(F24+Infectadas!G17*'Shock Tecnológico'!G17,F$42*Imitación!G17)*Viva!G17</f>
        <v>11.110214191058491</v>
      </c>
      <c r="H24" s="2">
        <f ca="1">MAX(G24+Infectadas!H17*'Shock Tecnológico'!H17,G$42*Imitación!H17)*Viva!H17</f>
        <v>11.110214191058491</v>
      </c>
      <c r="I24" s="2">
        <f ca="1">MAX(H24+Infectadas!I17*'Shock Tecnológico'!I17,H$42*Imitación!I17)*Viva!I17</f>
        <v>12.022212488865708</v>
      </c>
      <c r="J24" s="2">
        <f ca="1">MAX(I24+Infectadas!J17*'Shock Tecnológico'!J17,I$42*Imitación!J17)*Viva!J17</f>
        <v>12.022212488865708</v>
      </c>
      <c r="K24" s="2">
        <f ca="1">MAX(J24+Infectadas!K17*'Shock Tecnológico'!K17,J$42*Imitación!K17)*Viva!K17</f>
        <v>11.608054262155408</v>
      </c>
      <c r="L24" s="2">
        <f ca="1">MAX(K24+Infectadas!L17*'Shock Tecnológico'!L17,K$42*Imitación!L17)*Viva!L17</f>
        <v>11.608054262155408</v>
      </c>
      <c r="M24" s="2">
        <f ca="1">MAX(L24+Infectadas!M17*'Shock Tecnológico'!M17,L$42*Imitación!M17)*Viva!M17</f>
        <v>11.608054262155408</v>
      </c>
      <c r="N24" s="2">
        <f ca="1">MAX(M24+Infectadas!N17*'Shock Tecnológico'!N17,M$42*Imitación!N17)*Viva!N17</f>
        <v>11.608054262155408</v>
      </c>
      <c r="O24" s="2">
        <f ca="1">MAX(N24+Infectadas!O17*'Shock Tecnológico'!O17,N$42*Imitación!O17)*Viva!O17</f>
        <v>0</v>
      </c>
      <c r="P24" s="2">
        <f ca="1">MAX(O24+Infectadas!P17*'Shock Tecnológico'!P17,O$42*Imitación!P17)*Viva!P17</f>
        <v>0</v>
      </c>
      <c r="Q24" s="2">
        <f ca="1">MAX(P24+Infectadas!Q17*'Shock Tecnológico'!Q17,P$42*Imitación!Q17)*Viva!Q17</f>
        <v>0</v>
      </c>
      <c r="R24" s="2">
        <f ca="1">MAX(Q24+Infectadas!R17*'Shock Tecnológico'!R17,Q$42*Imitación!R17)*Viva!R17</f>
        <v>0</v>
      </c>
      <c r="S24" s="2">
        <f ca="1">MAX(R24+Infectadas!S17*'Shock Tecnológico'!S17,R$42*Imitación!S17)*Viva!S17</f>
        <v>0</v>
      </c>
      <c r="T24" s="2">
        <f ca="1">MAX(S24+Infectadas!T17*'Shock Tecnológico'!T17,S$42*Imitación!T17)*Viva!T17</f>
        <v>0</v>
      </c>
      <c r="U24" s="2">
        <f ca="1">MAX(T24+Infectadas!U17*'Shock Tecnológico'!U17,T$42*Imitación!U17)*Viva!U17</f>
        <v>0</v>
      </c>
      <c r="V24" s="2">
        <f ca="1">MAX(U24+Infectadas!V17*'Shock Tecnológico'!V17,U$42*Imitación!V17)*Viva!V17</f>
        <v>0</v>
      </c>
    </row>
    <row r="25" spans="1:22" s="2" customFormat="1" x14ac:dyDescent="0.35">
      <c r="A25" s="1">
        <v>15</v>
      </c>
      <c r="B25" s="2">
        <v>10</v>
      </c>
      <c r="C25" s="2">
        <f ca="1">MAX(B25+Infectadas!C18*'Shock Tecnológico'!C18,B$42*Imitación!C18)*Viva!C18</f>
        <v>9.902102503465299</v>
      </c>
      <c r="D25" s="2">
        <f ca="1">MAX(C25+Infectadas!D18*'Shock Tecnológico'!D18,C$42*Imitación!D18)*Viva!D18</f>
        <v>11.110214191058491</v>
      </c>
      <c r="E25" s="2">
        <f ca="1">MAX(D25+Infectadas!E18*'Shock Tecnológico'!E18,D$42*Imitación!E18)*Viva!E18</f>
        <v>11.110214191058491</v>
      </c>
      <c r="F25" s="2">
        <f ca="1">MAX(E25+Infectadas!F18*'Shock Tecnológico'!F18,E$42*Imitación!F18)*Viva!F18</f>
        <v>11.110214191058491</v>
      </c>
      <c r="G25" s="2">
        <f ca="1">MAX(F25+Infectadas!G18*'Shock Tecnológico'!G18,F$42*Imitación!G18)*Viva!G18</f>
        <v>11.904774268237151</v>
      </c>
      <c r="H25" s="2">
        <f ca="1">MAX(G25+Infectadas!H18*'Shock Tecnológico'!H18,G$42*Imitación!H18)*Viva!H18</f>
        <v>11.904774268237151</v>
      </c>
      <c r="I25" s="2">
        <f ca="1">MAX(H25+Infectadas!I18*'Shock Tecnológico'!I18,H$42*Imitación!I18)*Viva!I18</f>
        <v>11.904774268237151</v>
      </c>
      <c r="J25" s="2">
        <f ca="1">MAX(I25+Infectadas!J18*'Shock Tecnológico'!J18,I$42*Imitación!J18)*Viva!J18</f>
        <v>11.904774268237151</v>
      </c>
      <c r="K25" s="2">
        <f ca="1">MAX(J25+Infectadas!K18*'Shock Tecnológico'!K18,J$42*Imitación!K18)*Viva!K18</f>
        <v>0</v>
      </c>
      <c r="L25" s="2">
        <f ca="1">MAX(K25+Infectadas!L18*'Shock Tecnológico'!L18,K$42*Imitación!L18)*Viva!L18</f>
        <v>0</v>
      </c>
      <c r="M25" s="2">
        <f ca="1">MAX(L25+Infectadas!M18*'Shock Tecnológico'!M18,L$42*Imitación!M18)*Viva!M18</f>
        <v>0</v>
      </c>
      <c r="N25" s="2">
        <f ca="1">MAX(M25+Infectadas!N18*'Shock Tecnológico'!N18,M$42*Imitación!N18)*Viva!N18</f>
        <v>0</v>
      </c>
      <c r="O25" s="2">
        <f ca="1">MAX(N25+Infectadas!O18*'Shock Tecnológico'!O18,N$42*Imitación!O18)*Viva!O18</f>
        <v>0</v>
      </c>
      <c r="P25" s="2">
        <f ca="1">MAX(O25+Infectadas!P18*'Shock Tecnológico'!P18,O$42*Imitación!P18)*Viva!P18</f>
        <v>0</v>
      </c>
      <c r="Q25" s="2">
        <f ca="1">MAX(P25+Infectadas!Q18*'Shock Tecnológico'!Q18,P$42*Imitación!Q18)*Viva!Q18</f>
        <v>0</v>
      </c>
      <c r="R25" s="2">
        <f ca="1">MAX(Q25+Infectadas!R18*'Shock Tecnológico'!R18,Q$42*Imitación!R18)*Viva!R18</f>
        <v>0</v>
      </c>
      <c r="S25" s="2">
        <f ca="1">MAX(R25+Infectadas!S18*'Shock Tecnológico'!S18,R$42*Imitación!S18)*Viva!S18</f>
        <v>0</v>
      </c>
      <c r="T25" s="2">
        <f ca="1">MAX(S25+Infectadas!T18*'Shock Tecnológico'!T18,S$42*Imitación!T18)*Viva!T18</f>
        <v>0</v>
      </c>
      <c r="U25" s="2">
        <f ca="1">MAX(T25+Infectadas!U18*'Shock Tecnológico'!U18,T$42*Imitación!U18)*Viva!U18</f>
        <v>0</v>
      </c>
      <c r="V25" s="2">
        <f ca="1">MAX(U25+Infectadas!V18*'Shock Tecnológico'!V18,U$42*Imitación!V18)*Viva!V18</f>
        <v>0</v>
      </c>
    </row>
    <row r="26" spans="1:22" s="2" customFormat="1" x14ac:dyDescent="0.35">
      <c r="A26" s="1">
        <v>16</v>
      </c>
      <c r="B26" s="2">
        <v>10</v>
      </c>
      <c r="C26" s="2">
        <f ca="1">MAX(B26+Infectadas!C19*'Shock Tecnológico'!C19,B$42*Imitación!C19)*Viva!C19</f>
        <v>10</v>
      </c>
      <c r="D26" s="2">
        <f ca="1">MAX(C26+Infectadas!D19*'Shock Tecnológico'!D19,C$42*Imitación!D19)*Viva!D19</f>
        <v>10</v>
      </c>
      <c r="E26" s="2">
        <f ca="1">MAX(D26+Infectadas!E19*'Shock Tecnológico'!E19,D$42*Imitación!E19)*Viva!E19</f>
        <v>10</v>
      </c>
      <c r="F26" s="2">
        <f ca="1">MAX(E26+Infectadas!F19*'Shock Tecnológico'!F19,E$42*Imitación!F19)*Viva!F19</f>
        <v>11.110214191058491</v>
      </c>
      <c r="G26" s="2">
        <f ca="1">MAX(F26+Infectadas!G19*'Shock Tecnológico'!G19,F$42*Imitación!G19)*Viva!G19</f>
        <v>11.390133350890331</v>
      </c>
      <c r="H26" s="2">
        <f ca="1">MAX(G26+Infectadas!H19*'Shock Tecnológico'!H19,G$42*Imitación!H19)*Viva!H19</f>
        <v>11.390133350890331</v>
      </c>
      <c r="I26" s="2">
        <f ca="1">MAX(H26+Infectadas!I19*'Shock Tecnológico'!I19,H$42*Imitación!I19)*Viva!I19</f>
        <v>11.390133350890331</v>
      </c>
      <c r="J26" s="2">
        <f ca="1">MAX(I26+Infectadas!J19*'Shock Tecnológico'!J19,I$42*Imitación!J19)*Viva!J19</f>
        <v>11.390133350890331</v>
      </c>
      <c r="K26" s="2">
        <f ca="1">MAX(J26+Infectadas!K19*'Shock Tecnológico'!K19,J$42*Imitación!K19)*Viva!K19</f>
        <v>0</v>
      </c>
      <c r="L26" s="2">
        <f ca="1">MAX(K26+Infectadas!L19*'Shock Tecnológico'!L19,K$42*Imitación!L19)*Viva!L19</f>
        <v>0</v>
      </c>
      <c r="M26" s="2">
        <f ca="1">MAX(L26+Infectadas!M19*'Shock Tecnológico'!M19,L$42*Imitación!M19)*Viva!M19</f>
        <v>0</v>
      </c>
      <c r="N26" s="2">
        <f ca="1">MAX(M26+Infectadas!N19*'Shock Tecnológico'!N19,M$42*Imitación!N19)*Viva!N19</f>
        <v>0</v>
      </c>
      <c r="O26" s="2">
        <f ca="1">MAX(N26+Infectadas!O19*'Shock Tecnológico'!O19,N$42*Imitación!O19)*Viva!O19</f>
        <v>0</v>
      </c>
      <c r="P26" s="2">
        <f ca="1">MAX(O26+Infectadas!P19*'Shock Tecnológico'!P19,O$42*Imitación!P19)*Viva!P19</f>
        <v>0</v>
      </c>
      <c r="Q26" s="2">
        <f ca="1">MAX(P26+Infectadas!Q19*'Shock Tecnológico'!Q19,P$42*Imitación!Q19)*Viva!Q19</f>
        <v>0</v>
      </c>
      <c r="R26" s="2">
        <f ca="1">MAX(Q26+Infectadas!R19*'Shock Tecnológico'!R19,Q$42*Imitación!R19)*Viva!R19</f>
        <v>0</v>
      </c>
      <c r="S26" s="2">
        <f ca="1">MAX(R26+Infectadas!S19*'Shock Tecnológico'!S19,R$42*Imitación!S19)*Viva!S19</f>
        <v>0</v>
      </c>
      <c r="T26" s="2">
        <f ca="1">MAX(S26+Infectadas!T19*'Shock Tecnológico'!T19,S$42*Imitación!T19)*Viva!T19</f>
        <v>0</v>
      </c>
      <c r="U26" s="2">
        <f ca="1">MAX(T26+Infectadas!U19*'Shock Tecnológico'!U19,T$42*Imitación!U19)*Viva!U19</f>
        <v>0</v>
      </c>
      <c r="V26" s="2">
        <f ca="1">MAX(U26+Infectadas!V19*'Shock Tecnológico'!V19,U$42*Imitación!V19)*Viva!V19</f>
        <v>0</v>
      </c>
    </row>
    <row r="27" spans="1:22" s="2" customFormat="1" x14ac:dyDescent="0.35">
      <c r="A27" s="1">
        <v>17</v>
      </c>
      <c r="B27" s="2">
        <v>10</v>
      </c>
      <c r="C27" s="2">
        <f ca="1">MAX(B27+Infectadas!C20*'Shock Tecnológico'!C20,B$42*Imitación!C20)*Viva!C20</f>
        <v>10</v>
      </c>
      <c r="D27" s="2">
        <f ca="1">MAX(C27+Infectadas!D20*'Shock Tecnológico'!D20,C$42*Imitación!D20)*Viva!D20</f>
        <v>10</v>
      </c>
      <c r="E27" s="2">
        <f ca="1">MAX(D27+Infectadas!E20*'Shock Tecnológico'!E20,D$42*Imitación!E20)*Viva!E20</f>
        <v>11.110214191058491</v>
      </c>
      <c r="F27" s="2">
        <f ca="1">MAX(E27+Infectadas!F20*'Shock Tecnológico'!F20,E$42*Imitación!F20)*Viva!F20</f>
        <v>11.110214191058491</v>
      </c>
      <c r="G27" s="2">
        <f ca="1">MAX(F27+Infectadas!G20*'Shock Tecnológico'!G20,F$42*Imitación!G20)*Viva!G20</f>
        <v>11.110214191058491</v>
      </c>
      <c r="H27" s="2">
        <f ca="1">MAX(G27+Infectadas!H20*'Shock Tecnológico'!H20,G$42*Imitación!H20)*Viva!H20</f>
        <v>11.110214191058491</v>
      </c>
      <c r="I27" s="2">
        <f ca="1">MAX(H27+Infectadas!I20*'Shock Tecnológico'!I20,H$42*Imitación!I20)*Viva!I20</f>
        <v>11.110214191058491</v>
      </c>
      <c r="J27" s="2">
        <f ca="1">MAX(I27+Infectadas!J20*'Shock Tecnológico'!J20,I$42*Imitación!J20)*Viva!J20</f>
        <v>12.022212488865708</v>
      </c>
      <c r="K27" s="2">
        <f ca="1">MAX(J27+Infectadas!K20*'Shock Tecnológico'!K20,J$42*Imitación!K20)*Viva!K20</f>
        <v>12.273573957469003</v>
      </c>
      <c r="L27" s="2">
        <f ca="1">MAX(K27+Infectadas!L20*'Shock Tecnológico'!L20,K$42*Imitación!L20)*Viva!L20</f>
        <v>12.273573957469003</v>
      </c>
      <c r="M27" s="2">
        <f ca="1">MAX(L27+Infectadas!M20*'Shock Tecnológico'!M20,L$42*Imitación!M20)*Viva!M20</f>
        <v>12.51479410179873</v>
      </c>
      <c r="N27" s="2">
        <f ca="1">MAX(M27+Infectadas!N20*'Shock Tecnológico'!N20,M$42*Imitación!N20)*Viva!N20</f>
        <v>12.51479410179873</v>
      </c>
      <c r="O27" s="2">
        <f ca="1">MAX(N27+Infectadas!O20*'Shock Tecnológico'!O20,N$42*Imitación!O20)*Viva!O20</f>
        <v>12.928633973138883</v>
      </c>
      <c r="P27" s="2">
        <f ca="1">MAX(O27+Infectadas!P20*'Shock Tecnológico'!P20,O$42*Imitación!P20)*Viva!P20</f>
        <v>12.928633973138883</v>
      </c>
      <c r="Q27" s="2">
        <f ca="1">MAX(P27+Infectadas!Q20*'Shock Tecnológico'!Q20,P$42*Imitación!Q20)*Viva!Q20</f>
        <v>12.928633973138883</v>
      </c>
      <c r="R27" s="2">
        <f ca="1">MAX(Q27+Infectadas!R20*'Shock Tecnológico'!R20,Q$42*Imitación!R20)*Viva!R20</f>
        <v>12.928633973138883</v>
      </c>
      <c r="S27" s="2">
        <f ca="1">MAX(R27+Infectadas!S20*'Shock Tecnológico'!S20,R$42*Imitación!S20)*Viva!S20</f>
        <v>13.140072234603593</v>
      </c>
      <c r="T27" s="2">
        <f ca="1">MAX(S27+Infectadas!T20*'Shock Tecnológico'!T20,S$42*Imitación!T20)*Viva!T20</f>
        <v>13.140072234603593</v>
      </c>
      <c r="U27" s="2">
        <f ca="1">MAX(T27+Infectadas!U20*'Shock Tecnológico'!U20,T$42*Imitación!U20)*Viva!U20</f>
        <v>13.140072234603593</v>
      </c>
      <c r="V27" s="2">
        <f ca="1">MAX(U27+Infectadas!V20*'Shock Tecnológico'!V20,U$42*Imitación!V20)*Viva!V20</f>
        <v>13.140072234603593</v>
      </c>
    </row>
    <row r="28" spans="1:22" s="2" customFormat="1" x14ac:dyDescent="0.35">
      <c r="A28" s="1">
        <v>18</v>
      </c>
      <c r="B28" s="2">
        <v>10</v>
      </c>
      <c r="C28" s="2">
        <f ca="1">MAX(B28+Infectadas!C21*'Shock Tecnológico'!C21,B$42*Imitación!C21)*Viva!C21</f>
        <v>9.5236441805644549</v>
      </c>
      <c r="D28" s="2">
        <f ca="1">MAX(C28+Infectadas!D21*'Shock Tecnológico'!D21,C$42*Imitación!D21)*Viva!D21</f>
        <v>9.5236441805644549</v>
      </c>
      <c r="E28" s="2">
        <f ca="1">MAX(D28+Infectadas!E21*'Shock Tecnológico'!E21,D$42*Imitación!E21)*Viva!E21</f>
        <v>11.110214191058491</v>
      </c>
      <c r="F28" s="2">
        <f ca="1">MAX(E28+Infectadas!F21*'Shock Tecnológico'!F21,E$42*Imitación!F21)*Viva!F21</f>
        <v>11.110214191058491</v>
      </c>
      <c r="G28" s="2">
        <f ca="1">MAX(F28+Infectadas!G21*'Shock Tecnológico'!G21,F$42*Imitación!G21)*Viva!G21</f>
        <v>10.627645209375475</v>
      </c>
      <c r="H28" s="2">
        <f ca="1">MAX(G28+Infectadas!H21*'Shock Tecnológico'!H21,G$42*Imitación!H21)*Viva!H21</f>
        <v>12.022212488865708</v>
      </c>
      <c r="I28" s="2">
        <f ca="1">MAX(H28+Infectadas!I21*'Shock Tecnológico'!I21,H$42*Imitación!I21)*Viva!I21</f>
        <v>12.022212488865708</v>
      </c>
      <c r="J28" s="2">
        <f ca="1">MAX(I28+Infectadas!J21*'Shock Tecnológico'!J21,I$42*Imitación!J21)*Viva!J21</f>
        <v>12.022212488865708</v>
      </c>
      <c r="K28" s="2">
        <f ca="1">MAX(J28+Infectadas!K21*'Shock Tecnológico'!K21,J$42*Imitación!K21)*Viva!K21</f>
        <v>12.022212488865708</v>
      </c>
      <c r="L28" s="2">
        <f ca="1">MAX(K28+Infectadas!L21*'Shock Tecnológico'!L21,K$42*Imitación!L21)*Viva!L21</f>
        <v>12.51479410179873</v>
      </c>
      <c r="M28" s="2">
        <f ca="1">MAX(L28+Infectadas!M21*'Shock Tecnológico'!M21,L$42*Imitación!M21)*Viva!M21</f>
        <v>12.51479410179873</v>
      </c>
      <c r="N28" s="2">
        <f ca="1">MAX(M28+Infectadas!N21*'Shock Tecnológico'!N21,M$42*Imitación!N21)*Viva!N21</f>
        <v>12.51479410179873</v>
      </c>
      <c r="O28" s="2">
        <f ca="1">MAX(N28+Infectadas!O21*'Shock Tecnológico'!O21,N$42*Imitación!O21)*Viva!O21</f>
        <v>12.51479410179873</v>
      </c>
      <c r="P28" s="2">
        <f ca="1">MAX(O28+Infectadas!P21*'Shock Tecnológico'!P21,O$42*Imitación!P21)*Viva!P21</f>
        <v>12.51479410179873</v>
      </c>
      <c r="Q28" s="2">
        <f ca="1">MAX(P28+Infectadas!Q21*'Shock Tecnológico'!Q21,P$42*Imitación!Q21)*Viva!Q21</f>
        <v>12.928633973138883</v>
      </c>
      <c r="R28" s="2">
        <f ca="1">MAX(Q28+Infectadas!R21*'Shock Tecnológico'!R21,Q$42*Imitación!R21)*Viva!R21</f>
        <v>12.928633973138883</v>
      </c>
      <c r="S28" s="2">
        <f ca="1">MAX(R28+Infectadas!S21*'Shock Tecnológico'!S21,R$42*Imitación!S21)*Viva!S21</f>
        <v>12.928633973138883</v>
      </c>
      <c r="T28" s="2">
        <f ca="1">MAX(S28+Infectadas!T21*'Shock Tecnológico'!T21,S$42*Imitación!T21)*Viva!T21</f>
        <v>12.928633973138883</v>
      </c>
      <c r="U28" s="2">
        <f ca="1">MAX(T28+Infectadas!U21*'Shock Tecnológico'!U21,T$42*Imitación!U21)*Viva!U21</f>
        <v>12.928633973138883</v>
      </c>
      <c r="V28" s="2">
        <f ca="1">MAX(U28+Infectadas!V21*'Shock Tecnológico'!V21,U$42*Imitación!V21)*Viva!V21</f>
        <v>13.311015380950879</v>
      </c>
    </row>
    <row r="29" spans="1:22" s="2" customFormat="1" x14ac:dyDescent="0.35">
      <c r="A29" s="1">
        <v>19</v>
      </c>
      <c r="B29" s="2">
        <v>10</v>
      </c>
      <c r="C29" s="2">
        <f ca="1">MAX(B29+Infectadas!C22*'Shock Tecnológico'!C22,B$42*Imitación!C22)*Viva!C22</f>
        <v>10.171131667623861</v>
      </c>
      <c r="D29" s="2">
        <f ca="1">MAX(C29+Infectadas!D22*'Shock Tecnológico'!D22,C$42*Imitación!D22)*Viva!D22</f>
        <v>10.171131667623861</v>
      </c>
      <c r="E29" s="2">
        <f ca="1">MAX(D29+Infectadas!E22*'Shock Tecnológico'!E22,D$42*Imitación!E22)*Viva!E22</f>
        <v>10.171131667623861</v>
      </c>
      <c r="F29" s="2">
        <f ca="1">MAX(E29+Infectadas!F22*'Shock Tecnológico'!F22,E$42*Imitación!F22)*Viva!F22</f>
        <v>10.171131667623861</v>
      </c>
      <c r="G29" s="2">
        <f ca="1">MAX(F29+Infectadas!G22*'Shock Tecnológico'!G22,F$42*Imitación!G22)*Viva!G22</f>
        <v>0</v>
      </c>
      <c r="H29" s="2">
        <f ca="1">MAX(G29+Infectadas!H22*'Shock Tecnológico'!H22,G$42*Imitación!H22)*Viva!H22</f>
        <v>0</v>
      </c>
      <c r="I29" s="2">
        <f ca="1">MAX(H29+Infectadas!I22*'Shock Tecnológico'!I22,H$42*Imitación!I22)*Viva!I22</f>
        <v>0</v>
      </c>
      <c r="J29" s="2">
        <f ca="1">MAX(I29+Infectadas!J22*'Shock Tecnológico'!J22,I$42*Imitación!J22)*Viva!J22</f>
        <v>0</v>
      </c>
      <c r="K29" s="2">
        <f ca="1">MAX(J29+Infectadas!K22*'Shock Tecnológico'!K22,J$42*Imitación!K22)*Viva!K22</f>
        <v>0</v>
      </c>
      <c r="L29" s="2">
        <f ca="1">MAX(K29+Infectadas!L22*'Shock Tecnológico'!L22,K$42*Imitación!L22)*Viva!L22</f>
        <v>0</v>
      </c>
      <c r="M29" s="2">
        <f ca="1">MAX(L29+Infectadas!M22*'Shock Tecnológico'!M22,L$42*Imitación!M22)*Viva!M22</f>
        <v>0</v>
      </c>
      <c r="N29" s="2">
        <f ca="1">MAX(M29+Infectadas!N22*'Shock Tecnológico'!N22,M$42*Imitación!N22)*Viva!N22</f>
        <v>0</v>
      </c>
      <c r="O29" s="2">
        <f ca="1">MAX(N29+Infectadas!O22*'Shock Tecnológico'!O22,N$42*Imitación!O22)*Viva!O22</f>
        <v>0</v>
      </c>
      <c r="P29" s="2">
        <f ca="1">MAX(O29+Infectadas!P22*'Shock Tecnológico'!P22,O$42*Imitación!P22)*Viva!P22</f>
        <v>0</v>
      </c>
      <c r="Q29" s="2">
        <f ca="1">MAX(P29+Infectadas!Q22*'Shock Tecnológico'!Q22,P$42*Imitación!Q22)*Viva!Q22</f>
        <v>0</v>
      </c>
      <c r="R29" s="2">
        <f ca="1">MAX(Q29+Infectadas!R22*'Shock Tecnológico'!R22,Q$42*Imitación!R22)*Viva!R22</f>
        <v>0</v>
      </c>
      <c r="S29" s="2">
        <f ca="1">MAX(R29+Infectadas!S22*'Shock Tecnológico'!S22,R$42*Imitación!S22)*Viva!S22</f>
        <v>0</v>
      </c>
      <c r="T29" s="2">
        <f ca="1">MAX(S29+Infectadas!T22*'Shock Tecnológico'!T22,S$42*Imitación!T22)*Viva!T22</f>
        <v>0</v>
      </c>
      <c r="U29" s="2">
        <f ca="1">MAX(T29+Infectadas!U22*'Shock Tecnológico'!U22,T$42*Imitación!U22)*Viva!U22</f>
        <v>0</v>
      </c>
      <c r="V29" s="2">
        <f ca="1">MAX(U29+Infectadas!V22*'Shock Tecnológico'!V22,U$42*Imitación!V22)*Viva!V22</f>
        <v>0</v>
      </c>
    </row>
    <row r="30" spans="1:22" s="2" customFormat="1" x14ac:dyDescent="0.35">
      <c r="A30" s="1">
        <v>20</v>
      </c>
      <c r="B30" s="2">
        <v>10</v>
      </c>
      <c r="C30" s="2">
        <f ca="1">MAX(B30+Infectadas!C23*'Shock Tecnológico'!C23,B$42*Imitación!C23)*Viva!C23</f>
        <v>9.7714568398514778</v>
      </c>
      <c r="D30" s="2">
        <f ca="1">MAX(C30+Infectadas!D23*'Shock Tecnológico'!D23,C$42*Imitación!D23)*Viva!D23</f>
        <v>9.7714568398514778</v>
      </c>
      <c r="E30" s="2">
        <f ca="1">MAX(D30+Infectadas!E23*'Shock Tecnológico'!E23,D$42*Imitación!E23)*Viva!E23</f>
        <v>9.7714568398514778</v>
      </c>
      <c r="F30" s="2">
        <f ca="1">MAX(E30+Infectadas!F23*'Shock Tecnológico'!F23,E$42*Imitación!F23)*Viva!F23</f>
        <v>9.7714568398514778</v>
      </c>
      <c r="G30" s="2">
        <f ca="1">MAX(F30+Infectadas!G23*'Shock Tecnológico'!G23,F$42*Imitación!G23)*Viva!G23</f>
        <v>0</v>
      </c>
      <c r="H30" s="2">
        <f ca="1">MAX(G30+Infectadas!H23*'Shock Tecnológico'!H23,G$42*Imitación!H23)*Viva!H23</f>
        <v>0</v>
      </c>
      <c r="I30" s="2">
        <f ca="1">MAX(H30+Infectadas!I23*'Shock Tecnológico'!I23,H$42*Imitación!I23)*Viva!I23</f>
        <v>0</v>
      </c>
      <c r="J30" s="2">
        <f ca="1">MAX(I30+Infectadas!J23*'Shock Tecnológico'!J23,I$42*Imitación!J23)*Viva!J23</f>
        <v>0</v>
      </c>
      <c r="K30" s="2">
        <f ca="1">MAX(J30+Infectadas!K23*'Shock Tecnológico'!K23,J$42*Imitación!K23)*Viva!K23</f>
        <v>0</v>
      </c>
      <c r="L30" s="2">
        <f ca="1">MAX(K30+Infectadas!L23*'Shock Tecnológico'!L23,K$42*Imitación!L23)*Viva!L23</f>
        <v>0</v>
      </c>
      <c r="M30" s="2">
        <f ca="1">MAX(L30+Infectadas!M23*'Shock Tecnológico'!M23,L$42*Imitación!M23)*Viva!M23</f>
        <v>0</v>
      </c>
      <c r="N30" s="2">
        <f ca="1">MAX(M30+Infectadas!N23*'Shock Tecnológico'!N23,M$42*Imitación!N23)*Viva!N23</f>
        <v>0</v>
      </c>
      <c r="O30" s="2">
        <f ca="1">MAX(N30+Infectadas!O23*'Shock Tecnológico'!O23,N$42*Imitación!O23)*Viva!O23</f>
        <v>0</v>
      </c>
      <c r="P30" s="2">
        <f ca="1">MAX(O30+Infectadas!P23*'Shock Tecnológico'!P23,O$42*Imitación!P23)*Viva!P23</f>
        <v>0</v>
      </c>
      <c r="Q30" s="2">
        <f ca="1">MAX(P30+Infectadas!Q23*'Shock Tecnológico'!Q23,P$42*Imitación!Q23)*Viva!Q23</f>
        <v>0</v>
      </c>
      <c r="R30" s="2">
        <f ca="1">MAX(Q30+Infectadas!R23*'Shock Tecnológico'!R23,Q$42*Imitación!R23)*Viva!R23</f>
        <v>0</v>
      </c>
      <c r="S30" s="2">
        <f ca="1">MAX(R30+Infectadas!S23*'Shock Tecnológico'!S23,R$42*Imitación!S23)*Viva!S23</f>
        <v>0</v>
      </c>
      <c r="T30" s="2">
        <f ca="1">MAX(S30+Infectadas!T23*'Shock Tecnológico'!T23,S$42*Imitación!T23)*Viva!T23</f>
        <v>0</v>
      </c>
      <c r="U30" s="2">
        <f ca="1">MAX(T30+Infectadas!U23*'Shock Tecnológico'!U23,T$42*Imitación!U23)*Viva!U23</f>
        <v>0</v>
      </c>
      <c r="V30" s="2">
        <f ca="1">MAX(U30+Infectadas!V23*'Shock Tecnológico'!V23,U$42*Imitación!V23)*Viva!V23</f>
        <v>0</v>
      </c>
    </row>
    <row r="31" spans="1:22" s="2" customFormat="1" x14ac:dyDescent="0.35">
      <c r="A31" s="1">
        <v>21</v>
      </c>
      <c r="B31" s="2">
        <v>10</v>
      </c>
      <c r="C31" s="2">
        <f ca="1">MAX(B31+Infectadas!C24*'Shock Tecnológico'!C24,B$42*Imitación!C24)*Viva!C24</f>
        <v>10</v>
      </c>
      <c r="D31" s="2">
        <f ca="1">MAX(C31+Infectadas!D24*'Shock Tecnológico'!D24,C$42*Imitación!D24)*Viva!D24</f>
        <v>10</v>
      </c>
      <c r="E31" s="2">
        <f ca="1">MAX(D31+Infectadas!E24*'Shock Tecnológico'!E24,D$42*Imitación!E24)*Viva!E24</f>
        <v>10</v>
      </c>
      <c r="F31" s="2">
        <f ca="1">MAX(E31+Infectadas!F24*'Shock Tecnológico'!F24,E$42*Imitación!F24)*Viva!F24</f>
        <v>10</v>
      </c>
      <c r="G31" s="2">
        <f ca="1">MAX(F31+Infectadas!G24*'Shock Tecnológico'!G24,F$42*Imitación!G24)*Viva!G24</f>
        <v>0</v>
      </c>
      <c r="H31" s="2">
        <f ca="1">MAX(G31+Infectadas!H24*'Shock Tecnológico'!H24,G$42*Imitación!H24)*Viva!H24</f>
        <v>0</v>
      </c>
      <c r="I31" s="2">
        <f ca="1">MAX(H31+Infectadas!I24*'Shock Tecnológico'!I24,H$42*Imitación!I24)*Viva!I24</f>
        <v>0</v>
      </c>
      <c r="J31" s="2">
        <f ca="1">MAX(I31+Infectadas!J24*'Shock Tecnológico'!J24,I$42*Imitación!J24)*Viva!J24</f>
        <v>0</v>
      </c>
      <c r="K31" s="2">
        <f ca="1">MAX(J31+Infectadas!K24*'Shock Tecnológico'!K24,J$42*Imitación!K24)*Viva!K24</f>
        <v>0</v>
      </c>
      <c r="L31" s="2">
        <f ca="1">MAX(K31+Infectadas!L24*'Shock Tecnológico'!L24,K$42*Imitación!L24)*Viva!L24</f>
        <v>0</v>
      </c>
      <c r="M31" s="2">
        <f ca="1">MAX(L31+Infectadas!M24*'Shock Tecnológico'!M24,L$42*Imitación!M24)*Viva!M24</f>
        <v>0</v>
      </c>
      <c r="N31" s="2">
        <f ca="1">MAX(M31+Infectadas!N24*'Shock Tecnológico'!N24,M$42*Imitación!N24)*Viva!N24</f>
        <v>0</v>
      </c>
      <c r="O31" s="2">
        <f ca="1">MAX(N31+Infectadas!O24*'Shock Tecnológico'!O24,N$42*Imitación!O24)*Viva!O24</f>
        <v>0</v>
      </c>
      <c r="P31" s="2">
        <f ca="1">MAX(O31+Infectadas!P24*'Shock Tecnológico'!P24,O$42*Imitación!P24)*Viva!P24</f>
        <v>0</v>
      </c>
      <c r="Q31" s="2">
        <f ca="1">MAX(P31+Infectadas!Q24*'Shock Tecnológico'!Q24,P$42*Imitación!Q24)*Viva!Q24</f>
        <v>0</v>
      </c>
      <c r="R31" s="2">
        <f ca="1">MAX(Q31+Infectadas!R24*'Shock Tecnológico'!R24,Q$42*Imitación!R24)*Viva!R24</f>
        <v>0</v>
      </c>
      <c r="S31" s="2">
        <f ca="1">MAX(R31+Infectadas!S24*'Shock Tecnológico'!S24,R$42*Imitación!S24)*Viva!S24</f>
        <v>0</v>
      </c>
      <c r="T31" s="2">
        <f ca="1">MAX(S31+Infectadas!T24*'Shock Tecnológico'!T24,S$42*Imitación!T24)*Viva!T24</f>
        <v>0</v>
      </c>
      <c r="U31" s="2">
        <f ca="1">MAX(T31+Infectadas!U24*'Shock Tecnológico'!U24,T$42*Imitación!U24)*Viva!U24</f>
        <v>0</v>
      </c>
      <c r="V31" s="2">
        <f ca="1">MAX(U31+Infectadas!V24*'Shock Tecnológico'!V24,U$42*Imitación!V24)*Viva!V24</f>
        <v>0</v>
      </c>
    </row>
    <row r="32" spans="1:22" s="2" customFormat="1" x14ac:dyDescent="0.35">
      <c r="A32" s="1">
        <v>22</v>
      </c>
      <c r="B32" s="2">
        <v>10</v>
      </c>
      <c r="C32" s="2">
        <f ca="1">MAX(B32+Infectadas!C25*'Shock Tecnológico'!C25,B$42*Imitación!C25)*Viva!C25</f>
        <v>10</v>
      </c>
      <c r="D32" s="2">
        <f ca="1">MAX(C32+Infectadas!D25*'Shock Tecnológico'!D25,C$42*Imitación!D25)*Viva!D25</f>
        <v>10</v>
      </c>
      <c r="E32" s="2">
        <f ca="1">MAX(D32+Infectadas!E25*'Shock Tecnológico'!E25,D$42*Imitación!E25)*Viva!E25</f>
        <v>10</v>
      </c>
      <c r="F32" s="2">
        <f ca="1">MAX(E32+Infectadas!F25*'Shock Tecnológico'!F25,E$42*Imitación!F25)*Viva!F25</f>
        <v>10</v>
      </c>
      <c r="G32" s="2">
        <f ca="1">MAX(F32+Infectadas!G25*'Shock Tecnológico'!G25,F$42*Imitación!G25)*Viva!G25</f>
        <v>0</v>
      </c>
      <c r="H32" s="2">
        <f ca="1">MAX(G32+Infectadas!H25*'Shock Tecnológico'!H25,G$42*Imitación!H25)*Viva!H25</f>
        <v>0</v>
      </c>
      <c r="I32" s="2">
        <f ca="1">MAX(H32+Infectadas!I25*'Shock Tecnológico'!I25,H$42*Imitación!I25)*Viva!I25</f>
        <v>0</v>
      </c>
      <c r="J32" s="2">
        <f ca="1">MAX(I32+Infectadas!J25*'Shock Tecnológico'!J25,I$42*Imitación!J25)*Viva!J25</f>
        <v>0</v>
      </c>
      <c r="K32" s="2">
        <f ca="1">MAX(J32+Infectadas!K25*'Shock Tecnológico'!K25,J$42*Imitación!K25)*Viva!K25</f>
        <v>0</v>
      </c>
      <c r="L32" s="2">
        <f ca="1">MAX(K32+Infectadas!L25*'Shock Tecnológico'!L25,K$42*Imitación!L25)*Viva!L25</f>
        <v>0</v>
      </c>
      <c r="M32" s="2">
        <f ca="1">MAX(L32+Infectadas!M25*'Shock Tecnológico'!M25,L$42*Imitación!M25)*Viva!M25</f>
        <v>0</v>
      </c>
      <c r="N32" s="2">
        <f ca="1">MAX(M32+Infectadas!N25*'Shock Tecnológico'!N25,M$42*Imitación!N25)*Viva!N25</f>
        <v>0</v>
      </c>
      <c r="O32" s="2">
        <f ca="1">MAX(N32+Infectadas!O25*'Shock Tecnológico'!O25,N$42*Imitación!O25)*Viva!O25</f>
        <v>0</v>
      </c>
      <c r="P32" s="2">
        <f ca="1">MAX(O32+Infectadas!P25*'Shock Tecnológico'!P25,O$42*Imitación!P25)*Viva!P25</f>
        <v>0</v>
      </c>
      <c r="Q32" s="2">
        <f ca="1">MAX(P32+Infectadas!Q25*'Shock Tecnológico'!Q25,P$42*Imitación!Q25)*Viva!Q25</f>
        <v>0</v>
      </c>
      <c r="R32" s="2">
        <f ca="1">MAX(Q32+Infectadas!R25*'Shock Tecnológico'!R25,Q$42*Imitación!R25)*Viva!R25</f>
        <v>0</v>
      </c>
      <c r="S32" s="2">
        <f ca="1">MAX(R32+Infectadas!S25*'Shock Tecnológico'!S25,R$42*Imitación!S25)*Viva!S25</f>
        <v>0</v>
      </c>
      <c r="T32" s="2">
        <f ca="1">MAX(S32+Infectadas!T25*'Shock Tecnológico'!T25,S$42*Imitación!T25)*Viva!T25</f>
        <v>0</v>
      </c>
      <c r="U32" s="2">
        <f ca="1">MAX(T32+Infectadas!U25*'Shock Tecnológico'!U25,T$42*Imitación!U25)*Viva!U25</f>
        <v>0</v>
      </c>
      <c r="V32" s="2">
        <f ca="1">MAX(U32+Infectadas!V25*'Shock Tecnológico'!V25,U$42*Imitación!V25)*Viva!V25</f>
        <v>0</v>
      </c>
    </row>
    <row r="33" spans="1:23" s="2" customFormat="1" x14ac:dyDescent="0.35">
      <c r="A33" s="1">
        <v>23</v>
      </c>
      <c r="B33" s="2">
        <v>10</v>
      </c>
      <c r="C33" s="2">
        <f ca="1">MAX(B33+Infectadas!C26*'Shock Tecnológico'!C26,B$42*Imitación!C26)*Viva!C26</f>
        <v>9.9379848372734809</v>
      </c>
      <c r="D33" s="2">
        <f ca="1">MAX(C33+Infectadas!D26*'Shock Tecnológico'!D26,C$42*Imitación!D26)*Viva!D26</f>
        <v>11.110214191058491</v>
      </c>
      <c r="E33" s="2">
        <f ca="1">MAX(D33+Infectadas!E26*'Shock Tecnológico'!E26,D$42*Imitación!E26)*Viva!E26</f>
        <v>11.110214191058491</v>
      </c>
      <c r="F33" s="2">
        <f ca="1">MAX(E33+Infectadas!F26*'Shock Tecnológico'!F26,E$42*Imitación!F26)*Viva!F26</f>
        <v>11.110214191058491</v>
      </c>
      <c r="G33" s="2">
        <f ca="1">MAX(F33+Infectadas!G26*'Shock Tecnológico'!G26,F$42*Imitación!G26)*Viva!G26</f>
        <v>11.110214191058491</v>
      </c>
      <c r="H33" s="2">
        <f ca="1">MAX(G33+Infectadas!H26*'Shock Tecnológico'!H26,G$42*Imitación!H26)*Viva!H26</f>
        <v>12.022212488865708</v>
      </c>
      <c r="I33" s="2">
        <f ca="1">MAX(H33+Infectadas!I26*'Shock Tecnológico'!I26,H$42*Imitación!I26)*Viva!I26</f>
        <v>12.022212488865708</v>
      </c>
      <c r="J33" s="2">
        <f ca="1">MAX(I33+Infectadas!J26*'Shock Tecnológico'!J26,I$42*Imitación!J26)*Viva!J26</f>
        <v>12.022212488865708</v>
      </c>
      <c r="K33" s="2">
        <f ca="1">MAX(J33+Infectadas!K26*'Shock Tecnológico'!K26,J$42*Imitación!K26)*Viva!K26</f>
        <v>11.090143330728909</v>
      </c>
      <c r="L33" s="2">
        <f ca="1">MAX(K33+Infectadas!L26*'Shock Tecnológico'!L26,K$42*Imitación!L26)*Viva!L26</f>
        <v>11.090143330728909</v>
      </c>
      <c r="M33" s="2">
        <f ca="1">MAX(L33+Infectadas!M26*'Shock Tecnológico'!M26,L$42*Imitación!M26)*Viva!M26</f>
        <v>11.090143330728909</v>
      </c>
      <c r="N33" s="2">
        <f ca="1">MAX(M33+Infectadas!N26*'Shock Tecnológico'!N26,M$42*Imitación!N26)*Viva!N26</f>
        <v>11.090143330728909</v>
      </c>
      <c r="O33" s="2">
        <f ca="1">MAX(N33+Infectadas!O26*'Shock Tecnológico'!O26,N$42*Imitación!O26)*Viva!O26</f>
        <v>0</v>
      </c>
      <c r="P33" s="2">
        <f ca="1">MAX(O33+Infectadas!P26*'Shock Tecnológico'!P26,O$42*Imitación!P26)*Viva!P26</f>
        <v>0</v>
      </c>
      <c r="Q33" s="2">
        <f ca="1">MAX(P33+Infectadas!Q26*'Shock Tecnológico'!Q26,P$42*Imitación!Q26)*Viva!Q26</f>
        <v>0</v>
      </c>
      <c r="R33" s="2">
        <f ca="1">MAX(Q33+Infectadas!R26*'Shock Tecnológico'!R26,Q$42*Imitación!R26)*Viva!R26</f>
        <v>0</v>
      </c>
      <c r="S33" s="2">
        <f ca="1">MAX(R33+Infectadas!S26*'Shock Tecnológico'!S26,R$42*Imitación!S26)*Viva!S26</f>
        <v>0</v>
      </c>
      <c r="T33" s="2">
        <f ca="1">MAX(S33+Infectadas!T26*'Shock Tecnológico'!T26,S$42*Imitación!T26)*Viva!T26</f>
        <v>0</v>
      </c>
      <c r="U33" s="2">
        <f ca="1">MAX(T33+Infectadas!U26*'Shock Tecnológico'!U26,T$42*Imitación!U26)*Viva!U26</f>
        <v>0</v>
      </c>
      <c r="V33" s="2">
        <f ca="1">MAX(U33+Infectadas!V26*'Shock Tecnológico'!V26,U$42*Imitación!V26)*Viva!V26</f>
        <v>0</v>
      </c>
    </row>
    <row r="34" spans="1:23" s="2" customFormat="1" x14ac:dyDescent="0.35">
      <c r="A34" s="1">
        <v>24</v>
      </c>
      <c r="B34" s="2">
        <v>10</v>
      </c>
      <c r="C34" s="2">
        <f ca="1">MAX(B34+Infectadas!C27*'Shock Tecnológico'!C27,B$42*Imitación!C27)*Viva!C27</f>
        <v>10</v>
      </c>
      <c r="D34" s="2">
        <f ca="1">MAX(C34+Infectadas!D27*'Shock Tecnológico'!D27,C$42*Imitación!D27)*Viva!D27</f>
        <v>10</v>
      </c>
      <c r="E34" s="2">
        <f ca="1">MAX(D34+Infectadas!E27*'Shock Tecnológico'!E27,D$42*Imitación!E27)*Viva!E27</f>
        <v>11.110214191058491</v>
      </c>
      <c r="F34" s="2">
        <f ca="1">MAX(E34+Infectadas!F27*'Shock Tecnológico'!F27,E$42*Imitación!F27)*Viva!F27</f>
        <v>11.110214191058491</v>
      </c>
      <c r="G34" s="2">
        <f ca="1">MAX(F34+Infectadas!G27*'Shock Tecnológico'!G27,F$42*Imitación!G27)*Viva!G27</f>
        <v>11.026470906723214</v>
      </c>
      <c r="H34" s="2">
        <f ca="1">MAX(G34+Infectadas!H27*'Shock Tecnológico'!H27,G$42*Imitación!H27)*Viva!H27</f>
        <v>11.026470906723214</v>
      </c>
      <c r="I34" s="2">
        <f ca="1">MAX(H34+Infectadas!I27*'Shock Tecnológico'!I27,H$42*Imitación!I27)*Viva!I27</f>
        <v>11.026470906723214</v>
      </c>
      <c r="J34" s="2">
        <f ca="1">MAX(I34+Infectadas!J27*'Shock Tecnológico'!J27,I$42*Imitación!J27)*Viva!J27</f>
        <v>11.026470906723214</v>
      </c>
      <c r="K34" s="2">
        <f ca="1">MAX(J34+Infectadas!K27*'Shock Tecnológico'!K27,J$42*Imitación!K27)*Viva!K27</f>
        <v>0</v>
      </c>
      <c r="L34" s="2">
        <f ca="1">MAX(K34+Infectadas!L27*'Shock Tecnológico'!L27,K$42*Imitación!L27)*Viva!L27</f>
        <v>0</v>
      </c>
      <c r="M34" s="2">
        <f ca="1">MAX(L34+Infectadas!M27*'Shock Tecnológico'!M27,L$42*Imitación!M27)*Viva!M27</f>
        <v>0</v>
      </c>
      <c r="N34" s="2">
        <f ca="1">MAX(M34+Infectadas!N27*'Shock Tecnológico'!N27,M$42*Imitación!N27)*Viva!N27</f>
        <v>0</v>
      </c>
      <c r="O34" s="2">
        <f ca="1">MAX(N34+Infectadas!O27*'Shock Tecnológico'!O27,N$42*Imitación!O27)*Viva!O27</f>
        <v>0</v>
      </c>
      <c r="P34" s="2">
        <f ca="1">MAX(O34+Infectadas!P27*'Shock Tecnológico'!P27,O$42*Imitación!P27)*Viva!P27</f>
        <v>0</v>
      </c>
      <c r="Q34" s="2">
        <f ca="1">MAX(P34+Infectadas!Q27*'Shock Tecnológico'!Q27,P$42*Imitación!Q27)*Viva!Q27</f>
        <v>0</v>
      </c>
      <c r="R34" s="2">
        <f ca="1">MAX(Q34+Infectadas!R27*'Shock Tecnológico'!R27,Q$42*Imitación!R27)*Viva!R27</f>
        <v>0</v>
      </c>
      <c r="S34" s="2">
        <f ca="1">MAX(R34+Infectadas!S27*'Shock Tecnológico'!S27,R$42*Imitación!S27)*Viva!S27</f>
        <v>0</v>
      </c>
      <c r="T34" s="2">
        <f ca="1">MAX(S34+Infectadas!T27*'Shock Tecnológico'!T27,S$42*Imitación!T27)*Viva!T27</f>
        <v>0</v>
      </c>
      <c r="U34" s="2">
        <f ca="1">MAX(T34+Infectadas!U27*'Shock Tecnológico'!U27,T$42*Imitación!U27)*Viva!U27</f>
        <v>0</v>
      </c>
      <c r="V34" s="2">
        <f ca="1">MAX(U34+Infectadas!V27*'Shock Tecnológico'!V27,U$42*Imitación!V27)*Viva!V27</f>
        <v>0</v>
      </c>
    </row>
    <row r="35" spans="1:23" s="2" customFormat="1" x14ac:dyDescent="0.35">
      <c r="A35" s="1">
        <v>25</v>
      </c>
      <c r="B35" s="2">
        <v>10</v>
      </c>
      <c r="C35" s="2">
        <f ca="1">MAX(B35+Infectadas!C28*'Shock Tecnológico'!C28,B$42*Imitación!C28)*Viva!C28</f>
        <v>10</v>
      </c>
      <c r="D35" s="2">
        <f ca="1">MAX(C35+Infectadas!D28*'Shock Tecnológico'!D28,C$42*Imitación!D28)*Viva!D28</f>
        <v>10</v>
      </c>
      <c r="E35" s="2">
        <f ca="1">MAX(D35+Infectadas!E28*'Shock Tecnológico'!E28,D$42*Imitación!E28)*Viva!E28</f>
        <v>11.110214191058491</v>
      </c>
      <c r="F35" s="2">
        <f ca="1">MAX(E35+Infectadas!F28*'Shock Tecnológico'!F28,E$42*Imitación!F28)*Viva!F28</f>
        <v>11.110214191058491</v>
      </c>
      <c r="G35" s="2">
        <f ca="1">MAX(F35+Infectadas!G28*'Shock Tecnológico'!G28,F$42*Imitación!G28)*Viva!G28</f>
        <v>11.110214191058491</v>
      </c>
      <c r="H35" s="2">
        <f ca="1">MAX(G35+Infectadas!H28*'Shock Tecnológico'!H28,G$42*Imitación!H28)*Viva!H28</f>
        <v>12.022212488865708</v>
      </c>
      <c r="I35" s="2">
        <f ca="1">MAX(H35+Infectadas!I28*'Shock Tecnológico'!I28,H$42*Imitación!I28)*Viva!I28</f>
        <v>12.022212488865708</v>
      </c>
      <c r="J35" s="2">
        <f ca="1">MAX(I35+Infectadas!J28*'Shock Tecnológico'!J28,I$42*Imitación!J28)*Viva!J28</f>
        <v>12.022212488865708</v>
      </c>
      <c r="K35" s="2">
        <f ca="1">MAX(J35+Infectadas!K28*'Shock Tecnológico'!K28,J$42*Imitación!K28)*Viva!K28</f>
        <v>12.022212488865708</v>
      </c>
      <c r="L35" s="2">
        <f ca="1">MAX(K35+Infectadas!L28*'Shock Tecnológico'!L28,K$42*Imitación!L28)*Viva!L28</f>
        <v>12.022212488865708</v>
      </c>
      <c r="M35" s="2">
        <f ca="1">MAX(L35+Infectadas!M28*'Shock Tecnológico'!M28,L$42*Imitación!M28)*Viva!M28</f>
        <v>12.022212488865708</v>
      </c>
      <c r="N35" s="2">
        <f ca="1">MAX(M35+Infectadas!N28*'Shock Tecnológico'!N28,M$42*Imitación!N28)*Viva!N28</f>
        <v>12.022212488865708</v>
      </c>
      <c r="O35" s="2">
        <f ca="1">MAX(N35+Infectadas!O28*'Shock Tecnológico'!O28,N$42*Imitación!O28)*Viva!O28</f>
        <v>0</v>
      </c>
      <c r="P35" s="2">
        <f ca="1">MAX(O35+Infectadas!P28*'Shock Tecnológico'!P28,O$42*Imitación!P28)*Viva!P28</f>
        <v>0</v>
      </c>
      <c r="Q35" s="2">
        <f ca="1">MAX(P35+Infectadas!Q28*'Shock Tecnológico'!Q28,P$42*Imitación!Q28)*Viva!Q28</f>
        <v>0</v>
      </c>
      <c r="R35" s="2">
        <f ca="1">MAX(Q35+Infectadas!R28*'Shock Tecnológico'!R28,Q$42*Imitación!R28)*Viva!R28</f>
        <v>0</v>
      </c>
      <c r="S35" s="2">
        <f ca="1">MAX(R35+Infectadas!S28*'Shock Tecnológico'!S28,R$42*Imitación!S28)*Viva!S28</f>
        <v>0</v>
      </c>
      <c r="T35" s="2">
        <f ca="1">MAX(S35+Infectadas!T28*'Shock Tecnológico'!T28,S$42*Imitación!T28)*Viva!T28</f>
        <v>0</v>
      </c>
      <c r="U35" s="2">
        <f ca="1">MAX(T35+Infectadas!U28*'Shock Tecnológico'!U28,T$42*Imitación!U28)*Viva!U28</f>
        <v>0</v>
      </c>
      <c r="V35" s="2">
        <f ca="1">MAX(U35+Infectadas!V28*'Shock Tecnológico'!V28,U$42*Imitación!V28)*Viva!V28</f>
        <v>0</v>
      </c>
    </row>
    <row r="36" spans="1:23" s="2" customFormat="1" x14ac:dyDescent="0.35">
      <c r="A36" s="1">
        <v>26</v>
      </c>
      <c r="B36" s="2">
        <v>10</v>
      </c>
      <c r="C36" s="2">
        <f ca="1">MAX(B36+Infectadas!C29*'Shock Tecnológico'!C29,B$42*Imitación!C29)*Viva!C29</f>
        <v>10</v>
      </c>
      <c r="D36" s="2">
        <f ca="1">MAX(C36+Infectadas!D29*'Shock Tecnológico'!D29,C$42*Imitación!D29)*Viva!D29</f>
        <v>10</v>
      </c>
      <c r="E36" s="2">
        <f ca="1">MAX(D36+Infectadas!E29*'Shock Tecnológico'!E29,D$42*Imitación!E29)*Viva!E29</f>
        <v>11.110214191058491</v>
      </c>
      <c r="F36" s="2">
        <f ca="1">MAX(E36+Infectadas!F29*'Shock Tecnológico'!F29,E$42*Imitación!F29)*Viva!F29</f>
        <v>11.110214191058491</v>
      </c>
      <c r="G36" s="2">
        <f ca="1">MAX(F36+Infectadas!G29*'Shock Tecnológico'!G29,F$42*Imitación!G29)*Viva!G29</f>
        <v>11.110214191058491</v>
      </c>
      <c r="H36" s="2">
        <f ca="1">MAX(G36+Infectadas!H29*'Shock Tecnológico'!H29,G$42*Imitación!H29)*Viva!H29</f>
        <v>11.110214191058491</v>
      </c>
      <c r="I36" s="2">
        <f ca="1">MAX(H36+Infectadas!I29*'Shock Tecnológico'!I29,H$42*Imitación!I29)*Viva!I29</f>
        <v>11.110214191058491</v>
      </c>
      <c r="J36" s="2">
        <f ca="1">MAX(I36+Infectadas!J29*'Shock Tecnológico'!J29,I$42*Imitación!J29)*Viva!J29</f>
        <v>12.022212488865708</v>
      </c>
      <c r="K36" s="2">
        <f ca="1">MAX(J36+Infectadas!K29*'Shock Tecnológico'!K29,J$42*Imitación!K29)*Viva!K29</f>
        <v>11.380661855009413</v>
      </c>
      <c r="L36" s="2">
        <f ca="1">MAX(K36+Infectadas!L29*'Shock Tecnológico'!L29,K$42*Imitación!L29)*Viva!L29</f>
        <v>12.51479410179873</v>
      </c>
      <c r="M36" s="2">
        <f ca="1">MAX(L36+Infectadas!M29*'Shock Tecnológico'!M29,L$42*Imitación!M29)*Viva!M29</f>
        <v>12.51479410179873</v>
      </c>
      <c r="N36" s="2">
        <f ca="1">MAX(M36+Infectadas!N29*'Shock Tecnológico'!N29,M$42*Imitación!N29)*Viva!N29</f>
        <v>12.51479410179873</v>
      </c>
      <c r="O36" s="2">
        <f ca="1">MAX(N36+Infectadas!O29*'Shock Tecnológico'!O29,N$42*Imitación!O29)*Viva!O29</f>
        <v>12.550587119311938</v>
      </c>
      <c r="P36" s="2">
        <f ca="1">MAX(O36+Infectadas!P29*'Shock Tecnológico'!P29,O$42*Imitación!P29)*Viva!P29</f>
        <v>12.550587119311938</v>
      </c>
      <c r="Q36" s="2">
        <f ca="1">MAX(P36+Infectadas!Q29*'Shock Tecnológico'!Q29,P$42*Imitación!Q29)*Viva!Q29</f>
        <v>12.550587119311938</v>
      </c>
      <c r="R36" s="2">
        <f ca="1">MAX(Q36+Infectadas!R29*'Shock Tecnológico'!R29,Q$42*Imitación!R29)*Viva!R29</f>
        <v>12.928633973138883</v>
      </c>
      <c r="S36" s="2">
        <f ca="1">MAX(R36+Infectadas!S29*'Shock Tecnológico'!S29,R$42*Imitación!S29)*Viva!S29</f>
        <v>13.311015380950879</v>
      </c>
      <c r="T36" s="2">
        <f ca="1">MAX(S36+Infectadas!T29*'Shock Tecnológico'!T29,S$42*Imitación!T29)*Viva!T29</f>
        <v>13.311015380950879</v>
      </c>
      <c r="U36" s="2">
        <f ca="1">MAX(T36+Infectadas!U29*'Shock Tecnológico'!U29,T$42*Imitación!U29)*Viva!U29</f>
        <v>13.311015380950879</v>
      </c>
      <c r="V36" s="2">
        <f ca="1">MAX(U36+Infectadas!V29*'Shock Tecnológico'!V29,U$42*Imitación!V29)*Viva!V29</f>
        <v>13.311015380950879</v>
      </c>
    </row>
    <row r="37" spans="1:23" s="2" customFormat="1" x14ac:dyDescent="0.35">
      <c r="A37" s="1">
        <v>27</v>
      </c>
      <c r="B37" s="2">
        <v>10</v>
      </c>
      <c r="C37" s="2">
        <f ca="1">MAX(B37+Infectadas!C30*'Shock Tecnológico'!C30,B$42*Imitación!C30)*Viva!C30</f>
        <v>9.859186584545947</v>
      </c>
      <c r="D37" s="2">
        <f ca="1">MAX(C37+Infectadas!D30*'Shock Tecnológico'!D30,C$42*Imitación!D30)*Viva!D30</f>
        <v>11.110214191058491</v>
      </c>
      <c r="E37" s="2">
        <f ca="1">MAX(D37+Infectadas!E30*'Shock Tecnológico'!E30,D$42*Imitación!E30)*Viva!E30</f>
        <v>11.110214191058491</v>
      </c>
      <c r="F37" s="2">
        <f ca="1">MAX(E37+Infectadas!F30*'Shock Tecnológico'!F30,E$42*Imitación!F30)*Viva!F30</f>
        <v>11.110214191058491</v>
      </c>
      <c r="G37" s="2">
        <f ca="1">MAX(F37+Infectadas!G30*'Shock Tecnológico'!G30,F$42*Imitación!G30)*Viva!G30</f>
        <v>11.026516083225363</v>
      </c>
      <c r="H37" s="2">
        <f ca="1">MAX(G37+Infectadas!H30*'Shock Tecnológico'!H30,G$42*Imitación!H30)*Viva!H30</f>
        <v>11.026516083225363</v>
      </c>
      <c r="I37" s="2">
        <f ca="1">MAX(H37+Infectadas!I30*'Shock Tecnológico'!I30,H$42*Imitación!I30)*Viva!I30</f>
        <v>11.026516083225363</v>
      </c>
      <c r="J37" s="2">
        <f ca="1">MAX(I37+Infectadas!J30*'Shock Tecnológico'!J30,I$42*Imitación!J30)*Viva!J30</f>
        <v>11.026516083225363</v>
      </c>
      <c r="K37" s="2">
        <f ca="1">MAX(J37+Infectadas!K30*'Shock Tecnológico'!K30,J$42*Imitación!K30)*Viva!K30</f>
        <v>0</v>
      </c>
      <c r="L37" s="2">
        <f ca="1">MAX(K37+Infectadas!L30*'Shock Tecnológico'!L30,K$42*Imitación!L30)*Viva!L30</f>
        <v>0</v>
      </c>
      <c r="M37" s="2">
        <f ca="1">MAX(L37+Infectadas!M30*'Shock Tecnológico'!M30,L$42*Imitación!M30)*Viva!M30</f>
        <v>0</v>
      </c>
      <c r="N37" s="2">
        <f ca="1">MAX(M37+Infectadas!N30*'Shock Tecnológico'!N30,M$42*Imitación!N30)*Viva!N30</f>
        <v>0</v>
      </c>
      <c r="O37" s="2">
        <f ca="1">MAX(N37+Infectadas!O30*'Shock Tecnológico'!O30,N$42*Imitación!O30)*Viva!O30</f>
        <v>0</v>
      </c>
      <c r="P37" s="2">
        <f ca="1">MAX(O37+Infectadas!P30*'Shock Tecnológico'!P30,O$42*Imitación!P30)*Viva!P30</f>
        <v>0</v>
      </c>
      <c r="Q37" s="2">
        <f ca="1">MAX(P37+Infectadas!Q30*'Shock Tecnológico'!Q30,P$42*Imitación!Q30)*Viva!Q30</f>
        <v>0</v>
      </c>
      <c r="R37" s="2">
        <f ca="1">MAX(Q37+Infectadas!R30*'Shock Tecnológico'!R30,Q$42*Imitación!R30)*Viva!R30</f>
        <v>0</v>
      </c>
      <c r="S37" s="2">
        <f ca="1">MAX(R37+Infectadas!S30*'Shock Tecnológico'!S30,R$42*Imitación!S30)*Viva!S30</f>
        <v>0</v>
      </c>
      <c r="T37" s="2">
        <f ca="1">MAX(S37+Infectadas!T30*'Shock Tecnológico'!T30,S$42*Imitación!T30)*Viva!T30</f>
        <v>0</v>
      </c>
      <c r="U37" s="2">
        <f ca="1">MAX(T37+Infectadas!U30*'Shock Tecnológico'!U30,T$42*Imitación!U30)*Viva!U30</f>
        <v>0</v>
      </c>
      <c r="V37" s="2">
        <f ca="1">MAX(U37+Infectadas!V30*'Shock Tecnológico'!V30,U$42*Imitación!V30)*Viva!V30</f>
        <v>0</v>
      </c>
    </row>
    <row r="38" spans="1:23" s="2" customFormat="1" x14ac:dyDescent="0.35">
      <c r="A38" s="1">
        <v>28</v>
      </c>
      <c r="B38" s="2">
        <v>10</v>
      </c>
      <c r="C38" s="2">
        <f ca="1">MAX(B38+Infectadas!C31*'Shock Tecnológico'!C31,B$42*Imitación!C31)*Viva!C31</f>
        <v>10.347701264965362</v>
      </c>
      <c r="D38" s="2">
        <f ca="1">MAX(C38+Infectadas!D31*'Shock Tecnológico'!D31,C$42*Imitación!D31)*Viva!D31</f>
        <v>11.110214191058491</v>
      </c>
      <c r="E38" s="2">
        <f ca="1">MAX(D38+Infectadas!E31*'Shock Tecnológico'!E31,D$42*Imitación!E31)*Viva!E31</f>
        <v>11.110214191058491</v>
      </c>
      <c r="F38" s="2">
        <f ca="1">MAX(E38+Infectadas!F31*'Shock Tecnológico'!F31,E$42*Imitación!F31)*Viva!F31</f>
        <v>11.110214191058491</v>
      </c>
      <c r="G38" s="2">
        <f ca="1">MAX(F38+Infectadas!G31*'Shock Tecnológico'!G31,F$42*Imitación!G31)*Viva!G31</f>
        <v>10.05640988303624</v>
      </c>
      <c r="H38" s="2">
        <f ca="1">MAX(G38+Infectadas!H31*'Shock Tecnológico'!H31,G$42*Imitación!H31)*Viva!H31</f>
        <v>12.022212488865708</v>
      </c>
      <c r="I38" s="2">
        <f ca="1">MAX(H38+Infectadas!I31*'Shock Tecnológico'!I31,H$42*Imitación!I31)*Viva!I31</f>
        <v>12.022212488865708</v>
      </c>
      <c r="J38" s="2">
        <f ca="1">MAX(I38+Infectadas!J31*'Shock Tecnológico'!J31,I$42*Imitación!J31)*Viva!J31</f>
        <v>12.022212488865708</v>
      </c>
      <c r="K38" s="2">
        <f ca="1">MAX(J38+Infectadas!K31*'Shock Tecnológico'!K31,J$42*Imitación!K31)*Viva!K31</f>
        <v>12.022212488865708</v>
      </c>
      <c r="L38" s="2">
        <f ca="1">MAX(K38+Infectadas!L31*'Shock Tecnológico'!L31,K$42*Imitación!L31)*Viva!L31</f>
        <v>12.51479410179873</v>
      </c>
      <c r="M38" s="2">
        <f ca="1">MAX(L38+Infectadas!M31*'Shock Tecnológico'!M31,L$42*Imitación!M31)*Viva!M31</f>
        <v>12.51479410179873</v>
      </c>
      <c r="N38" s="2">
        <f ca="1">MAX(M38+Infectadas!N31*'Shock Tecnológico'!N31,M$42*Imitación!N31)*Viva!N31</f>
        <v>12.51479410179873</v>
      </c>
      <c r="O38" s="2">
        <f ca="1">MAX(N38+Infectadas!O31*'Shock Tecnológico'!O31,N$42*Imitación!O31)*Viva!O31</f>
        <v>12.51479410179873</v>
      </c>
      <c r="P38" s="2">
        <f ca="1">MAX(O38+Infectadas!P31*'Shock Tecnológico'!P31,O$42*Imitación!P31)*Viva!P31</f>
        <v>12.51479410179873</v>
      </c>
      <c r="Q38" s="2">
        <f ca="1">MAX(P38+Infectadas!Q31*'Shock Tecnológico'!Q31,P$42*Imitación!Q31)*Viva!Q31</f>
        <v>12.928633973138883</v>
      </c>
      <c r="R38" s="2">
        <f ca="1">MAX(Q38+Infectadas!R31*'Shock Tecnológico'!R31,Q$42*Imitación!R31)*Viva!R31</f>
        <v>12.928633973138883</v>
      </c>
      <c r="S38" s="2">
        <f ca="1">MAX(R38+Infectadas!S31*'Shock Tecnológico'!S31,R$42*Imitación!S31)*Viva!S31</f>
        <v>12.928633973138883</v>
      </c>
      <c r="T38" s="2">
        <f ca="1">MAX(S38+Infectadas!T31*'Shock Tecnológico'!T31,S$42*Imitación!T31)*Viva!T31</f>
        <v>13.311015380950879</v>
      </c>
      <c r="U38" s="2">
        <f ca="1">MAX(T38+Infectadas!U31*'Shock Tecnológico'!U31,T$42*Imitación!U31)*Viva!U31</f>
        <v>13.311015380950879</v>
      </c>
      <c r="V38" s="2">
        <f ca="1">MAX(U38+Infectadas!V31*'Shock Tecnológico'!V31,U$42*Imitación!V31)*Viva!V31</f>
        <v>13.311015380950879</v>
      </c>
    </row>
    <row r="39" spans="1:23" s="2" customFormat="1" x14ac:dyDescent="0.35">
      <c r="A39" s="1">
        <v>29</v>
      </c>
      <c r="B39" s="2">
        <v>10</v>
      </c>
      <c r="C39" s="2">
        <f ca="1">MAX(B39+Infectadas!C32*'Shock Tecnológico'!C32,B$42*Imitación!C32)*Viva!C32</f>
        <v>9.3284309830130248</v>
      </c>
      <c r="D39" s="2">
        <f ca="1">MAX(C39+Infectadas!D32*'Shock Tecnológico'!D32,C$42*Imitación!D32)*Viva!D32</f>
        <v>11.110214191058491</v>
      </c>
      <c r="E39" s="2">
        <f ca="1">MAX(D39+Infectadas!E32*'Shock Tecnológico'!E32,D$42*Imitación!E32)*Viva!E32</f>
        <v>11.110214191058491</v>
      </c>
      <c r="F39" s="2">
        <f ca="1">MAX(E39+Infectadas!F32*'Shock Tecnológico'!F32,E$42*Imitación!F32)*Viva!F32</f>
        <v>11.110214191058491</v>
      </c>
      <c r="G39" s="2">
        <f ca="1">MAX(F39+Infectadas!G32*'Shock Tecnológico'!G32,F$42*Imitación!G32)*Viva!G32</f>
        <v>11.279130180028412</v>
      </c>
      <c r="H39" s="2">
        <f ca="1">MAX(G39+Infectadas!H32*'Shock Tecnológico'!H32,G$42*Imitación!H32)*Viva!H32</f>
        <v>11.279130180028412</v>
      </c>
      <c r="I39" s="2">
        <f ca="1">MAX(H39+Infectadas!I32*'Shock Tecnológico'!I32,H$42*Imitación!I32)*Viva!I32</f>
        <v>11.279130180028412</v>
      </c>
      <c r="J39" s="2">
        <f ca="1">MAX(I39+Infectadas!J32*'Shock Tecnológico'!J32,I$42*Imitación!J32)*Viva!J32</f>
        <v>11.279130180028412</v>
      </c>
      <c r="K39" s="2">
        <f ca="1">MAX(J39+Infectadas!K32*'Shock Tecnológico'!K32,J$42*Imitación!K32)*Viva!K32</f>
        <v>0</v>
      </c>
      <c r="L39" s="2">
        <f ca="1">MAX(K39+Infectadas!L32*'Shock Tecnológico'!L32,K$42*Imitación!L32)*Viva!L32</f>
        <v>0</v>
      </c>
      <c r="M39" s="2">
        <f ca="1">MAX(L39+Infectadas!M32*'Shock Tecnológico'!M32,L$42*Imitación!M32)*Viva!M32</f>
        <v>0</v>
      </c>
      <c r="N39" s="2">
        <f ca="1">MAX(M39+Infectadas!N32*'Shock Tecnológico'!N32,M$42*Imitación!N32)*Viva!N32</f>
        <v>0</v>
      </c>
      <c r="O39" s="2">
        <f ca="1">MAX(N39+Infectadas!O32*'Shock Tecnológico'!O32,N$42*Imitación!O32)*Viva!O32</f>
        <v>0</v>
      </c>
      <c r="P39" s="2">
        <f ca="1">MAX(O39+Infectadas!P32*'Shock Tecnológico'!P32,O$42*Imitación!P32)*Viva!P32</f>
        <v>0</v>
      </c>
      <c r="Q39" s="2">
        <f ca="1">MAX(P39+Infectadas!Q32*'Shock Tecnológico'!Q32,P$42*Imitación!Q32)*Viva!Q32</f>
        <v>0</v>
      </c>
      <c r="R39" s="2">
        <f ca="1">MAX(Q39+Infectadas!R32*'Shock Tecnológico'!R32,Q$42*Imitación!R32)*Viva!R32</f>
        <v>0</v>
      </c>
      <c r="S39" s="2">
        <f ca="1">MAX(R39+Infectadas!S32*'Shock Tecnológico'!S32,R$42*Imitación!S32)*Viva!S32</f>
        <v>0</v>
      </c>
      <c r="T39" s="2">
        <f ca="1">MAX(S39+Infectadas!T32*'Shock Tecnológico'!T32,S$42*Imitación!T32)*Viva!T32</f>
        <v>0</v>
      </c>
      <c r="U39" s="2">
        <f ca="1">MAX(T39+Infectadas!U32*'Shock Tecnológico'!U32,T$42*Imitación!U32)*Viva!U32</f>
        <v>0</v>
      </c>
      <c r="V39" s="2">
        <f ca="1">MAX(U39+Infectadas!V32*'Shock Tecnológico'!V32,U$42*Imitación!V32)*Viva!V32</f>
        <v>0</v>
      </c>
    </row>
    <row r="40" spans="1:23" s="2" customFormat="1" x14ac:dyDescent="0.35">
      <c r="A40" s="1">
        <v>30</v>
      </c>
      <c r="B40" s="2">
        <v>10</v>
      </c>
      <c r="C40" s="2">
        <f ca="1">MAX(B40+Infectadas!C33*'Shock Tecnológico'!C33,B$42*Imitación!C33)*Viva!C33</f>
        <v>11.110214191058491</v>
      </c>
      <c r="D40" s="2">
        <f ca="1">MAX(C40+Infectadas!D33*'Shock Tecnológico'!D33,C$42*Imitación!D33)*Viva!D33</f>
        <v>11.110214191058491</v>
      </c>
      <c r="E40" s="2">
        <f ca="1">MAX(D40+Infectadas!E33*'Shock Tecnológico'!E33,D$42*Imitación!E33)*Viva!E33</f>
        <v>11.110214191058491</v>
      </c>
      <c r="F40" s="2">
        <f ca="1">MAX(E40+Infectadas!F33*'Shock Tecnológico'!F33,E$42*Imitación!F33)*Viva!F33</f>
        <v>11.110214191058491</v>
      </c>
      <c r="G40" s="2">
        <f ca="1">MAX(F40+Infectadas!G33*'Shock Tecnológico'!G33,F$42*Imitación!G33)*Viva!G33</f>
        <v>11.110214191058491</v>
      </c>
      <c r="H40" s="2">
        <f ca="1">MAX(G40+Infectadas!H33*'Shock Tecnológico'!H33,G$42*Imitación!H33)*Viva!H33</f>
        <v>11.110214191058491</v>
      </c>
      <c r="I40" s="2">
        <f ca="1">MAX(H40+Infectadas!I33*'Shock Tecnológico'!I33,H$42*Imitación!I33)*Viva!I33</f>
        <v>11.110214191058491</v>
      </c>
      <c r="J40" s="2">
        <f ca="1">MAX(I40+Infectadas!J33*'Shock Tecnológico'!J33,I$42*Imitación!J33)*Viva!J33</f>
        <v>11.110214191058491</v>
      </c>
      <c r="K40" s="2">
        <f ca="1">MAX(J40+Infectadas!K33*'Shock Tecnológico'!K33,J$42*Imitación!K33)*Viva!K33</f>
        <v>0</v>
      </c>
      <c r="L40" s="2">
        <f ca="1">MAX(K40+Infectadas!L33*'Shock Tecnológico'!L33,K$42*Imitación!L33)*Viva!L33</f>
        <v>0</v>
      </c>
      <c r="M40" s="2">
        <f ca="1">MAX(L40+Infectadas!M33*'Shock Tecnológico'!M33,L$42*Imitación!M33)*Viva!M33</f>
        <v>0</v>
      </c>
      <c r="N40" s="2">
        <f ca="1">MAX(M40+Infectadas!N33*'Shock Tecnológico'!N33,M$42*Imitación!N33)*Viva!N33</f>
        <v>0</v>
      </c>
      <c r="O40" s="2">
        <f ca="1">MAX(N40+Infectadas!O33*'Shock Tecnológico'!O33,N$42*Imitación!O33)*Viva!O33</f>
        <v>0</v>
      </c>
      <c r="P40" s="2">
        <f ca="1">MAX(O40+Infectadas!P33*'Shock Tecnológico'!P33,O$42*Imitación!P33)*Viva!P33</f>
        <v>0</v>
      </c>
      <c r="Q40" s="2">
        <f ca="1">MAX(P40+Infectadas!Q33*'Shock Tecnológico'!Q33,P$42*Imitación!Q33)*Viva!Q33</f>
        <v>0</v>
      </c>
      <c r="R40" s="2">
        <f ca="1">MAX(Q40+Infectadas!R33*'Shock Tecnológico'!R33,Q$42*Imitación!R33)*Viva!R33</f>
        <v>0</v>
      </c>
      <c r="S40" s="2">
        <f ca="1">MAX(R40+Infectadas!S33*'Shock Tecnológico'!S33,R$42*Imitación!S33)*Viva!S33</f>
        <v>0</v>
      </c>
      <c r="T40" s="2">
        <f ca="1">MAX(S40+Infectadas!T33*'Shock Tecnológico'!T33,S$42*Imitación!T33)*Viva!T33</f>
        <v>0</v>
      </c>
      <c r="U40" s="2">
        <f ca="1">MAX(T40+Infectadas!U33*'Shock Tecnológico'!U33,T$42*Imitación!U33)*Viva!U33</f>
        <v>0</v>
      </c>
      <c r="V40" s="2">
        <f ca="1">MAX(U40+Infectadas!V33*'Shock Tecnológico'!V33,U$42*Imitación!V33)*Viva!V33</f>
        <v>0</v>
      </c>
    </row>
    <row r="42" spans="1:23" x14ac:dyDescent="0.35">
      <c r="A42" s="1" t="s">
        <v>1</v>
      </c>
      <c r="B42" s="2">
        <f t="shared" ref="B42:L42" si="0">MAX(B11:B40)</f>
        <v>10</v>
      </c>
      <c r="C42" s="2">
        <f t="shared" ca="1" si="0"/>
        <v>11.110214191058491</v>
      </c>
      <c r="D42" s="2">
        <f t="shared" ca="1" si="0"/>
        <v>11.110214191058491</v>
      </c>
      <c r="E42" s="2">
        <f t="shared" ca="1" si="0"/>
        <v>11.110214191058491</v>
      </c>
      <c r="F42" s="2">
        <f t="shared" ca="1" si="0"/>
        <v>11.110214191058491</v>
      </c>
      <c r="G42" s="2">
        <f t="shared" ca="1" si="0"/>
        <v>12.022212488865708</v>
      </c>
      <c r="H42" s="2">
        <f t="shared" ca="1" si="0"/>
        <v>12.022212488865708</v>
      </c>
      <c r="I42" s="2">
        <f t="shared" ca="1" si="0"/>
        <v>12.022212488865708</v>
      </c>
      <c r="J42" s="2">
        <f t="shared" ca="1" si="0"/>
        <v>12.022212488865708</v>
      </c>
      <c r="K42" s="2">
        <f t="shared" ca="1" si="0"/>
        <v>12.51479410179873</v>
      </c>
      <c r="L42" s="2">
        <f t="shared" ca="1" si="0"/>
        <v>12.51479410179873</v>
      </c>
      <c r="M42" s="2">
        <f t="shared" ref="M42" ca="1" si="1">MAX(M11:M40)</f>
        <v>12.51479410179873</v>
      </c>
      <c r="N42" s="2">
        <f t="shared" ref="N42:V42" ca="1" si="2">MAX(N11:N40)</f>
        <v>12.51479410179873</v>
      </c>
      <c r="O42" s="2">
        <f t="shared" ca="1" si="2"/>
        <v>12.928633973138883</v>
      </c>
      <c r="P42" s="2">
        <f t="shared" ca="1" si="2"/>
        <v>12.928633973138883</v>
      </c>
      <c r="Q42" s="2">
        <f t="shared" ca="1" si="2"/>
        <v>12.928633973138883</v>
      </c>
      <c r="R42" s="2">
        <f t="shared" ca="1" si="2"/>
        <v>12.928633973138883</v>
      </c>
      <c r="S42" s="2">
        <f t="shared" ca="1" si="2"/>
        <v>13.311015380950879</v>
      </c>
      <c r="T42" s="2">
        <f t="shared" ca="1" si="2"/>
        <v>13.311015380950879</v>
      </c>
      <c r="U42" s="2">
        <f t="shared" ca="1" si="2"/>
        <v>13.311015380950879</v>
      </c>
      <c r="V42" s="2">
        <f t="shared" ca="1" si="2"/>
        <v>13.311015380950879</v>
      </c>
      <c r="W42" s="2"/>
    </row>
    <row r="43" spans="1:23" x14ac:dyDescent="0.35">
      <c r="A43" s="1" t="s">
        <v>2</v>
      </c>
      <c r="B43" s="2" cm="1">
        <f t="array" ref="B43">MIN(IF(B11:B40&lt;&gt;0, B11:B40))</f>
        <v>10</v>
      </c>
      <c r="C43" s="2" cm="1">
        <f t="array" aca="1" ref="C43" ca="1">MIN(IF(C11:C40&lt;&gt;0, C11:C40))</f>
        <v>8.598927127323849</v>
      </c>
      <c r="D43" s="2" cm="1">
        <f t="array" aca="1" ref="D43" ca="1">MIN(IF(D11:D40&lt;&gt;0, D11:D40))</f>
        <v>9.5236441805644549</v>
      </c>
      <c r="E43" s="2" cm="1">
        <f t="array" aca="1" ref="E43" ca="1">MIN(IF(E11:E40&lt;&gt;0, E11:E40))</f>
        <v>9.6996263936357572</v>
      </c>
      <c r="F43" s="2" cm="1">
        <f t="array" aca="1" ref="F43" ca="1">MIN(IF(F11:F40&lt;&gt;0, F11:F40))</f>
        <v>9.6996263936357572</v>
      </c>
      <c r="G43" s="2" cm="1">
        <f t="array" aca="1" ref="G43" ca="1">MIN(IF(G11:G40&lt;&gt;0, G11:G40))</f>
        <v>10.05640988303624</v>
      </c>
      <c r="H43" s="2" cm="1">
        <f t="array" aca="1" ref="H43" ca="1">MIN(IF(H11:H40&lt;&gt;0, H11:H40))</f>
        <v>10.152187596050659</v>
      </c>
      <c r="I43" s="2" cm="1">
        <f t="array" aca="1" ref="I43" ca="1">MIN(IF(I11:I40&lt;&gt;0, I11:I40))</f>
        <v>10.152187596050659</v>
      </c>
      <c r="J43" s="2" cm="1">
        <f t="array" aca="1" ref="J43" ca="1">MIN(IF(J11:J40&lt;&gt;0, J11:J40))</f>
        <v>10.152187596050659</v>
      </c>
      <c r="K43" s="2" cm="1">
        <f t="array" aca="1" ref="K43" ca="1">MIN(IF(K11:K40&lt;&gt;0, K11:K40))</f>
        <v>11.090143330728909</v>
      </c>
      <c r="L43" s="2" cm="1">
        <f t="array" aca="1" ref="L43" ca="1">MIN(IF(L11:L40&lt;&gt;0, L11:L40))</f>
        <v>11.090143330728909</v>
      </c>
      <c r="M43" s="2" cm="1">
        <f t="array" aca="1" ref="M43" ca="1">MIN(IF(M11:M40&lt;&gt;0, M11:M40))</f>
        <v>11.090143330728909</v>
      </c>
      <c r="N43" s="2" cm="1">
        <f t="array" aca="1" ref="N43" ca="1">MIN(IF(N11:N40&lt;&gt;0, N11:N40))</f>
        <v>11.090143330728909</v>
      </c>
      <c r="O43" s="2" cm="1">
        <f t="array" aca="1" ref="O43" ca="1">MIN(IF(O11:O40&lt;&gt;0, O11:O40))</f>
        <v>11.378527280491031</v>
      </c>
      <c r="P43" s="2" cm="1">
        <f t="array" aca="1" ref="P43" ca="1">MIN(IF(P11:P40&lt;&gt;0, P11:P40))</f>
        <v>11.378527280491031</v>
      </c>
      <c r="Q43" s="2" cm="1">
        <f t="array" aca="1" ref="Q43" ca="1">MIN(IF(Q11:Q40&lt;&gt;0, Q11:Q40))</f>
        <v>11.636167809084721</v>
      </c>
      <c r="R43" s="2" cm="1">
        <f t="array" aca="1" ref="R43" ca="1">MIN(IF(R11:R40&lt;&gt;0, R11:R40))</f>
        <v>12.349411165778953</v>
      </c>
      <c r="S43" s="2" cm="1">
        <f t="array" aca="1" ref="S43" ca="1">MIN(IF(S11:S40&lt;&gt;0, S11:S40))</f>
        <v>12.652729652114834</v>
      </c>
      <c r="T43" s="2" cm="1">
        <f t="array" aca="1" ref="T43" ca="1">MIN(IF(T11:T40&lt;&gt;0, T11:T40))</f>
        <v>12.652729652114834</v>
      </c>
      <c r="U43" s="2" cm="1">
        <f t="array" aca="1" ref="U43" ca="1">MIN(IF(U11:U40&lt;&gt;0, U11:U40))</f>
        <v>12.652729652114834</v>
      </c>
      <c r="V43" s="2" cm="1">
        <f t="array" aca="1" ref="V43" ca="1">MIN(IF(V11:V40&lt;&gt;0, V11:V40))</f>
        <v>12.652729652114834</v>
      </c>
      <c r="W43" s="2"/>
    </row>
    <row r="44" spans="1:23" x14ac:dyDescent="0.35">
      <c r="A44" s="1" t="s">
        <v>13</v>
      </c>
      <c r="B44" s="2">
        <f>B42-B43</f>
        <v>0</v>
      </c>
      <c r="C44" s="2">
        <f t="shared" ref="C44:L44" ca="1" si="3">C42-C43</f>
        <v>2.5112870637346418</v>
      </c>
      <c r="D44" s="2">
        <f t="shared" ca="1" si="3"/>
        <v>1.5865700104940359</v>
      </c>
      <c r="E44" s="2">
        <f t="shared" ca="1" si="3"/>
        <v>1.4105877974227337</v>
      </c>
      <c r="F44" s="2">
        <f t="shared" ca="1" si="3"/>
        <v>1.4105877974227337</v>
      </c>
      <c r="G44" s="2">
        <f t="shared" ca="1" si="3"/>
        <v>1.9658026058294684</v>
      </c>
      <c r="H44" s="2">
        <f t="shared" ca="1" si="3"/>
        <v>1.8700248928150494</v>
      </c>
      <c r="I44" s="2">
        <f t="shared" ca="1" si="3"/>
        <v>1.8700248928150494</v>
      </c>
      <c r="J44" s="2">
        <f t="shared" ca="1" si="3"/>
        <v>1.8700248928150494</v>
      </c>
      <c r="K44" s="2">
        <f t="shared" ca="1" si="3"/>
        <v>1.4246507710698211</v>
      </c>
      <c r="L44" s="2">
        <f t="shared" ca="1" si="3"/>
        <v>1.4246507710698211</v>
      </c>
      <c r="M44" s="2">
        <f t="shared" ref="M44" ca="1" si="4">M42-M43</f>
        <v>1.4246507710698211</v>
      </c>
      <c r="N44" s="2">
        <f t="shared" ref="N44" ca="1" si="5">N42-N43</f>
        <v>1.4246507710698211</v>
      </c>
      <c r="O44" s="2">
        <f t="shared" ref="O44" ca="1" si="6">O42-O43</f>
        <v>1.5501066926478515</v>
      </c>
      <c r="P44" s="2">
        <f t="shared" ref="P44" ca="1" si="7">P42-P43</f>
        <v>1.5501066926478515</v>
      </c>
      <c r="Q44" s="2">
        <f t="shared" ref="Q44" ca="1" si="8">Q42-Q43</f>
        <v>1.2924661640541615</v>
      </c>
      <c r="R44" s="2">
        <f t="shared" ref="R44" ca="1" si="9">R42-R43</f>
        <v>0.5792228073599297</v>
      </c>
      <c r="S44" s="2">
        <f t="shared" ref="S44" ca="1" si="10">S42-S43</f>
        <v>0.65828572883604508</v>
      </c>
      <c r="T44" s="2">
        <f t="shared" ref="T44" ca="1" si="11">T42-T43</f>
        <v>0.65828572883604508</v>
      </c>
      <c r="U44" s="2">
        <f t="shared" ref="U44" ca="1" si="12">U42-U43</f>
        <v>0.65828572883604508</v>
      </c>
      <c r="V44" s="2">
        <f t="shared" ref="V44" ca="1" si="13">V42-V43</f>
        <v>0.65828572883604508</v>
      </c>
      <c r="W44" s="2"/>
    </row>
    <row r="46" spans="1:23" x14ac:dyDescent="0.35">
      <c r="A46" s="1" t="str">
        <f>Viva!A35</f>
        <v>Vivas</v>
      </c>
      <c r="B46" s="1">
        <f>Viva!B35</f>
        <v>30</v>
      </c>
      <c r="C46" s="1">
        <f>Viva!C35</f>
        <v>30</v>
      </c>
      <c r="D46" s="1">
        <f>Viva!D35</f>
        <v>30</v>
      </c>
      <c r="E46" s="1">
        <f>Viva!E35</f>
        <v>30</v>
      </c>
      <c r="F46" s="1">
        <f>Viva!F35</f>
        <v>30</v>
      </c>
      <c r="G46" s="1">
        <f ca="1">Viva!G35</f>
        <v>25</v>
      </c>
      <c r="H46" s="1">
        <f ca="1">Viva!H35</f>
        <v>25</v>
      </c>
      <c r="I46" s="1">
        <f ca="1">Viva!I35</f>
        <v>25</v>
      </c>
      <c r="J46" s="1">
        <f ca="1">Viva!J35</f>
        <v>25</v>
      </c>
      <c r="K46" s="1">
        <f ca="1">Viva!K35</f>
        <v>16</v>
      </c>
      <c r="L46" s="1">
        <f ca="1">Viva!L35</f>
        <v>16</v>
      </c>
      <c r="M46" s="1">
        <f ca="1">Viva!M35</f>
        <v>16</v>
      </c>
      <c r="N46" s="1">
        <f ca="1">Viva!N35</f>
        <v>16</v>
      </c>
      <c r="O46" s="1">
        <f ca="1">Viva!O35</f>
        <v>12</v>
      </c>
      <c r="P46" s="1">
        <f ca="1">Viva!P35</f>
        <v>12</v>
      </c>
      <c r="Q46" s="1">
        <f ca="1">Viva!Q35</f>
        <v>12</v>
      </c>
      <c r="R46" s="1">
        <f ca="1">Viva!R35</f>
        <v>12</v>
      </c>
      <c r="S46" s="1">
        <f ca="1">Viva!S35</f>
        <v>9</v>
      </c>
      <c r="T46" s="1">
        <f ca="1">Viva!T35</f>
        <v>9</v>
      </c>
      <c r="U46" s="1">
        <f ca="1">Viva!U35</f>
        <v>9</v>
      </c>
      <c r="V46" s="1">
        <f ca="1">Viva!V35</f>
        <v>9</v>
      </c>
    </row>
    <row r="47" spans="1:23" x14ac:dyDescent="0.35">
      <c r="A47" s="12" t="str">
        <f>Viva!A36</f>
        <v>Porcentaje</v>
      </c>
      <c r="B47" s="12">
        <f>Viva!B36</f>
        <v>1</v>
      </c>
      <c r="C47" s="12">
        <f>Viva!C36</f>
        <v>1</v>
      </c>
      <c r="D47" s="12">
        <f>Viva!D36</f>
        <v>1</v>
      </c>
      <c r="E47" s="12">
        <f>Viva!E36</f>
        <v>1</v>
      </c>
      <c r="F47" s="12">
        <f>Viva!F36</f>
        <v>1</v>
      </c>
      <c r="G47" s="12">
        <f ca="1">Viva!G36</f>
        <v>0.83333333333333337</v>
      </c>
      <c r="H47" s="12">
        <f ca="1">Viva!H36</f>
        <v>0.83333333333333337</v>
      </c>
      <c r="I47" s="12">
        <f ca="1">Viva!I36</f>
        <v>0.83333333333333337</v>
      </c>
      <c r="J47" s="12">
        <f ca="1">Viva!J36</f>
        <v>0.83333333333333337</v>
      </c>
      <c r="K47" s="12">
        <f ca="1">Viva!K36</f>
        <v>0.53333333333333333</v>
      </c>
      <c r="L47" s="12">
        <f ca="1">Viva!L36</f>
        <v>0.53333333333333333</v>
      </c>
      <c r="M47" s="12">
        <f ca="1">Viva!M36</f>
        <v>0.53333333333333333</v>
      </c>
      <c r="N47" s="12">
        <f ca="1">Viva!N36</f>
        <v>0.53333333333333333</v>
      </c>
      <c r="O47" s="12">
        <f ca="1">Viva!O36</f>
        <v>0.4</v>
      </c>
      <c r="P47" s="12">
        <f ca="1">Viva!P36</f>
        <v>0.4</v>
      </c>
      <c r="Q47" s="12">
        <f ca="1">Viva!Q36</f>
        <v>0.4</v>
      </c>
      <c r="R47" s="12">
        <f ca="1">Viva!R36</f>
        <v>0.4</v>
      </c>
      <c r="S47" s="12">
        <f ca="1">Viva!S36</f>
        <v>0.3</v>
      </c>
      <c r="T47" s="12">
        <f ca="1">Viva!T36</f>
        <v>0.3</v>
      </c>
      <c r="U47" s="12">
        <f ca="1">Viva!U36</f>
        <v>0.3</v>
      </c>
      <c r="V47" s="12">
        <f ca="1">Viva!V36</f>
        <v>0.3</v>
      </c>
    </row>
  </sheetData>
  <mergeCells count="7">
    <mergeCell ref="R4:R5"/>
    <mergeCell ref="G2:K2"/>
    <mergeCell ref="A4:C5"/>
    <mergeCell ref="D4:D5"/>
    <mergeCell ref="H4:J5"/>
    <mergeCell ref="K4:K5"/>
    <mergeCell ref="O4:Q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Spinner 6">
              <controlPr defaultSize="0" autoPict="0">
                <anchor moveWithCells="1" sizeWithCells="1">
                  <from>
                    <xdr:col>4</xdr:col>
                    <xdr:colOff>88900</xdr:colOff>
                    <xdr:row>2</xdr:row>
                    <xdr:rowOff>25400</xdr:rowOff>
                  </from>
                  <to>
                    <xdr:col>4</xdr:col>
                    <xdr:colOff>527050</xdr:colOff>
                    <xdr:row>5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Spinner 7">
              <controlPr defaultSize="0" autoPict="0">
                <anchor moveWithCells="1" sizeWithCells="1">
                  <from>
                    <xdr:col>11</xdr:col>
                    <xdr:colOff>95250</xdr:colOff>
                    <xdr:row>2</xdr:row>
                    <xdr:rowOff>31750</xdr:rowOff>
                  </from>
                  <to>
                    <xdr:col>11</xdr:col>
                    <xdr:colOff>533400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pinner 8">
              <controlPr defaultSize="0" autoPict="0" macro="[0]!GraficarTrayectorias">
                <anchor moveWithCells="1" sizeWithCells="1">
                  <from>
                    <xdr:col>18</xdr:col>
                    <xdr:colOff>95250</xdr:colOff>
                    <xdr:row>2</xdr:row>
                    <xdr:rowOff>31750</xdr:rowOff>
                  </from>
                  <to>
                    <xdr:col>18</xdr:col>
                    <xdr:colOff>533400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GraficarTrayectorias">
                <anchor moveWithCells="1" sizeWithCells="1">
                  <from>
                    <xdr:col>19</xdr:col>
                    <xdr:colOff>590550</xdr:colOff>
                    <xdr:row>2</xdr:row>
                    <xdr:rowOff>0</xdr:rowOff>
                  </from>
                  <to>
                    <xdr:col>22</xdr:col>
                    <xdr:colOff>577850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C4C4-F472-4E96-8F0A-B3EE03A40EB4}">
  <sheetPr codeName="Sheet2"/>
  <dimension ref="A1:V33"/>
  <sheetViews>
    <sheetView zoomScale="70" zoomScaleNormal="70" workbookViewId="0">
      <selection activeCell="A2" sqref="A2:XFD2"/>
    </sheetView>
  </sheetViews>
  <sheetFormatPr defaultRowHeight="14.5" x14ac:dyDescent="0.35"/>
  <cols>
    <col min="1" max="1" width="14" style="1" bestFit="1" customWidth="1"/>
    <col min="2" max="16384" width="8.7265625" style="5"/>
  </cols>
  <sheetData>
    <row r="1" spans="1:22" s="1" customFormat="1" x14ac:dyDescent="0.35">
      <c r="A1" s="1" t="s">
        <v>0</v>
      </c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>
        <v>9</v>
      </c>
      <c r="L1" s="1">
        <v>10</v>
      </c>
      <c r="M1" s="1">
        <v>11</v>
      </c>
      <c r="N1" s="1">
        <v>12</v>
      </c>
      <c r="O1" s="1">
        <v>13</v>
      </c>
      <c r="P1" s="1">
        <v>14</v>
      </c>
      <c r="Q1" s="1">
        <v>15</v>
      </c>
      <c r="R1" s="1">
        <v>16</v>
      </c>
      <c r="S1" s="1">
        <v>17</v>
      </c>
      <c r="T1" s="1">
        <v>18</v>
      </c>
      <c r="U1" s="1">
        <v>19</v>
      </c>
      <c r="V1" s="1">
        <v>20</v>
      </c>
    </row>
    <row r="2" spans="1:22" s="9" customFormat="1" x14ac:dyDescent="0.35">
      <c r="A2" s="9" t="s">
        <v>11</v>
      </c>
      <c r="B2" s="9">
        <f>Tecnología!B9</f>
        <v>0</v>
      </c>
      <c r="C2" s="9">
        <f>Tecnología!C9</f>
        <v>1</v>
      </c>
      <c r="D2" s="9">
        <f>Tecnología!D9</f>
        <v>0</v>
      </c>
      <c r="E2" s="9">
        <f>Tecnología!E9</f>
        <v>0</v>
      </c>
      <c r="F2" s="9">
        <f>Tecnología!F9</f>
        <v>0</v>
      </c>
      <c r="G2" s="9">
        <f>Tecnología!G9</f>
        <v>5</v>
      </c>
      <c r="H2" s="9">
        <f>Tecnología!H9</f>
        <v>0</v>
      </c>
      <c r="I2" s="9">
        <f>Tecnología!I9</f>
        <v>0</v>
      </c>
      <c r="J2" s="9">
        <f>Tecnología!J9</f>
        <v>0</v>
      </c>
      <c r="K2" s="9">
        <f>Tecnología!K9</f>
        <v>9</v>
      </c>
      <c r="L2" s="9">
        <f>Tecnología!L9</f>
        <v>0</v>
      </c>
      <c r="M2" s="9">
        <f>Tecnología!M9</f>
        <v>0</v>
      </c>
      <c r="N2" s="9">
        <f>Tecnología!N9</f>
        <v>0</v>
      </c>
      <c r="O2" s="9">
        <f>Tecnología!O9</f>
        <v>13</v>
      </c>
      <c r="P2" s="9">
        <f>Tecnología!P9</f>
        <v>0</v>
      </c>
      <c r="Q2" s="9">
        <f>Tecnología!Q9</f>
        <v>0</v>
      </c>
      <c r="R2" s="9">
        <f>Tecnología!R9</f>
        <v>0</v>
      </c>
      <c r="S2" s="9">
        <f>Tecnología!S9</f>
        <v>17</v>
      </c>
      <c r="T2" s="9">
        <f>Tecnología!T9</f>
        <v>0</v>
      </c>
      <c r="U2" s="9">
        <f>Tecnología!U9</f>
        <v>0</v>
      </c>
      <c r="V2" s="9">
        <f>Tecnología!V9</f>
        <v>0</v>
      </c>
    </row>
    <row r="3" spans="1:22" s="9" customFormat="1" x14ac:dyDescent="0.35">
      <c r="A3" s="6"/>
    </row>
    <row r="4" spans="1:22" s="4" customFormat="1" x14ac:dyDescent="0.35">
      <c r="A4" s="1">
        <v>1</v>
      </c>
      <c r="C4" s="4">
        <f ca="1">IF(C$2&gt;0,_xlfn.NORM.INV(RAND(), 0, 0.5),0)</f>
        <v>0.48321541081819847</v>
      </c>
      <c r="D4" s="4">
        <f t="shared" ref="D4:V17" ca="1" si="0">IF(D$2&gt;0,_xlfn.NORM.INV(RAND(), 0, 0.5),0)</f>
        <v>0</v>
      </c>
      <c r="E4" s="4">
        <f t="shared" ca="1" si="0"/>
        <v>0</v>
      </c>
      <c r="F4" s="4">
        <f t="shared" ca="1" si="0"/>
        <v>0</v>
      </c>
      <c r="G4" s="4">
        <f t="shared" ca="1" si="0"/>
        <v>3.0623453737170309E-2</v>
      </c>
      <c r="H4" s="4">
        <f t="shared" ca="1" si="0"/>
        <v>0</v>
      </c>
      <c r="I4" s="4">
        <f t="shared" ca="1" si="0"/>
        <v>0</v>
      </c>
      <c r="J4" s="4">
        <f t="shared" ca="1" si="0"/>
        <v>0</v>
      </c>
      <c r="K4" s="4">
        <f t="shared" ca="1" si="0"/>
        <v>-9.4703577619793686E-2</v>
      </c>
      <c r="L4" s="4">
        <f t="shared" ca="1" si="0"/>
        <v>0</v>
      </c>
      <c r="M4" s="4">
        <f t="shared" ca="1" si="0"/>
        <v>0</v>
      </c>
      <c r="N4" s="4">
        <f t="shared" ca="1" si="0"/>
        <v>0</v>
      </c>
      <c r="O4" s="4">
        <f t="shared" ca="1" si="0"/>
        <v>-0.83060998312583845</v>
      </c>
      <c r="P4" s="4">
        <f t="shared" ca="1" si="0"/>
        <v>0</v>
      </c>
      <c r="Q4" s="4">
        <f t="shared" ca="1" si="0"/>
        <v>0</v>
      </c>
      <c r="R4" s="4">
        <f t="shared" ca="1" si="0"/>
        <v>0</v>
      </c>
      <c r="S4" s="4">
        <f t="shared" ca="1" si="0"/>
        <v>0.28081849901295985</v>
      </c>
      <c r="T4" s="4">
        <f t="shared" ca="1" si="0"/>
        <v>0</v>
      </c>
      <c r="U4" s="4">
        <f t="shared" ca="1" si="0"/>
        <v>0</v>
      </c>
      <c r="V4" s="4">
        <f t="shared" ca="1" si="0"/>
        <v>0</v>
      </c>
    </row>
    <row r="5" spans="1:22" s="4" customFormat="1" x14ac:dyDescent="0.35">
      <c r="A5" s="1">
        <v>2</v>
      </c>
      <c r="C5" s="4">
        <f t="shared" ref="C5:R33" ca="1" si="1">IF(C$2&gt;0,_xlfn.NORM.INV(RAND(), 0, 0.5),0)</f>
        <v>-0.41622209122433351</v>
      </c>
      <c r="D5" s="4">
        <f t="shared" ca="1" si="0"/>
        <v>0</v>
      </c>
      <c r="E5" s="4">
        <f t="shared" ca="1" si="0"/>
        <v>0</v>
      </c>
      <c r="F5" s="4">
        <f t="shared" ca="1" si="0"/>
        <v>0</v>
      </c>
      <c r="G5" s="4">
        <f t="shared" ca="1" si="0"/>
        <v>0.46301905891651218</v>
      </c>
      <c r="H5" s="4">
        <f t="shared" ca="1" si="0"/>
        <v>0</v>
      </c>
      <c r="I5" s="4">
        <f t="shared" ca="1" si="0"/>
        <v>0</v>
      </c>
      <c r="J5" s="4">
        <f t="shared" ca="1" si="0"/>
        <v>0</v>
      </c>
      <c r="K5" s="4">
        <f t="shared" ca="1" si="0"/>
        <v>0.39743069822170207</v>
      </c>
      <c r="L5" s="4">
        <f t="shared" ca="1" si="0"/>
        <v>0</v>
      </c>
      <c r="M5" s="4">
        <f t="shared" ca="1" si="0"/>
        <v>0</v>
      </c>
      <c r="N5" s="4">
        <f t="shared" ca="1" si="0"/>
        <v>0</v>
      </c>
      <c r="O5" s="4">
        <f t="shared" ca="1" si="0"/>
        <v>-0.28733253421738691</v>
      </c>
      <c r="P5" s="4">
        <f t="shared" ca="1" si="0"/>
        <v>0</v>
      </c>
      <c r="Q5" s="4">
        <f t="shared" ca="1" si="0"/>
        <v>0</v>
      </c>
      <c r="R5" s="4">
        <f t="shared" ca="1" si="0"/>
        <v>0</v>
      </c>
      <c r="S5" s="4">
        <f t="shared" ca="1" si="0"/>
        <v>6.5728097490900403E-2</v>
      </c>
      <c r="T5" s="4">
        <f t="shared" ca="1" si="0"/>
        <v>0</v>
      </c>
      <c r="U5" s="4">
        <f t="shared" ca="1" si="0"/>
        <v>0</v>
      </c>
      <c r="V5" s="4">
        <f t="shared" ca="1" si="0"/>
        <v>0</v>
      </c>
    </row>
    <row r="6" spans="1:22" s="4" customFormat="1" x14ac:dyDescent="0.35">
      <c r="A6" s="1">
        <v>3</v>
      </c>
      <c r="C6" s="4">
        <f t="shared" ca="1" si="1"/>
        <v>-1.4010728726761512</v>
      </c>
      <c r="D6" s="4">
        <f t="shared" ca="1" si="0"/>
        <v>0</v>
      </c>
      <c r="E6" s="4">
        <f t="shared" ca="1" si="0"/>
        <v>0</v>
      </c>
      <c r="F6" s="4">
        <f t="shared" ca="1" si="0"/>
        <v>0</v>
      </c>
      <c r="G6" s="4">
        <f t="shared" ca="1" si="0"/>
        <v>0.67021829188487902</v>
      </c>
      <c r="H6" s="4">
        <f t="shared" ca="1" si="0"/>
        <v>0</v>
      </c>
      <c r="I6" s="4">
        <f t="shared" ca="1" si="0"/>
        <v>0</v>
      </c>
      <c r="J6" s="4">
        <f t="shared" ca="1" si="0"/>
        <v>0</v>
      </c>
      <c r="K6" s="4">
        <f t="shared" ca="1" si="0"/>
        <v>0.25443062583432491</v>
      </c>
      <c r="L6" s="4">
        <f t="shared" ca="1" si="0"/>
        <v>0</v>
      </c>
      <c r="M6" s="4">
        <f t="shared" ca="1" si="0"/>
        <v>0</v>
      </c>
      <c r="N6" s="4">
        <f t="shared" ca="1" si="0"/>
        <v>0</v>
      </c>
      <c r="O6" s="4">
        <f t="shared" ca="1" si="0"/>
        <v>0.23056589226375837</v>
      </c>
      <c r="P6" s="4">
        <f t="shared" ca="1" si="0"/>
        <v>0</v>
      </c>
      <c r="Q6" s="4">
        <f t="shared" ca="1" si="0"/>
        <v>0</v>
      </c>
      <c r="R6" s="4">
        <f t="shared" ca="1" si="0"/>
        <v>0</v>
      </c>
      <c r="S6" s="4">
        <f t="shared" ca="1" si="0"/>
        <v>0.33047515205614952</v>
      </c>
      <c r="T6" s="4">
        <f t="shared" ca="1" si="0"/>
        <v>0</v>
      </c>
      <c r="U6" s="4">
        <f t="shared" ca="1" si="0"/>
        <v>0</v>
      </c>
      <c r="V6" s="4">
        <f t="shared" ca="1" si="0"/>
        <v>0</v>
      </c>
    </row>
    <row r="7" spans="1:22" s="4" customFormat="1" x14ac:dyDescent="0.35">
      <c r="A7" s="1">
        <v>4</v>
      </c>
      <c r="C7" s="4">
        <f t="shared" ca="1" si="1"/>
        <v>-4.9300208168237505E-2</v>
      </c>
      <c r="D7" s="4">
        <f t="shared" ca="1" si="0"/>
        <v>0</v>
      </c>
      <c r="E7" s="4">
        <f t="shared" ca="1" si="0"/>
        <v>0</v>
      </c>
      <c r="F7" s="4">
        <f t="shared" ca="1" si="0"/>
        <v>0</v>
      </c>
      <c r="G7" s="4">
        <f t="shared" ca="1" si="0"/>
        <v>5.5687361836134777E-2</v>
      </c>
      <c r="H7" s="4">
        <f t="shared" ca="1" si="0"/>
        <v>0</v>
      </c>
      <c r="I7" s="4">
        <f t="shared" ca="1" si="0"/>
        <v>0</v>
      </c>
      <c r="J7" s="4">
        <f t="shared" ca="1" si="0"/>
        <v>0</v>
      </c>
      <c r="K7" s="4">
        <f t="shared" ca="1" si="0"/>
        <v>0.69143797851838418</v>
      </c>
      <c r="L7" s="4">
        <f t="shared" ca="1" si="0"/>
        <v>0</v>
      </c>
      <c r="M7" s="4">
        <f t="shared" ca="1" si="0"/>
        <v>0</v>
      </c>
      <c r="N7" s="4">
        <f t="shared" ca="1" si="0"/>
        <v>0</v>
      </c>
      <c r="O7" s="4">
        <f t="shared" ca="1" si="0"/>
        <v>-1.1362668213076974</v>
      </c>
      <c r="P7" s="4">
        <f t="shared" ca="1" si="0"/>
        <v>0</v>
      </c>
      <c r="Q7" s="4">
        <f t="shared" ca="1" si="0"/>
        <v>0</v>
      </c>
      <c r="R7" s="4">
        <f t="shared" ca="1" si="0"/>
        <v>0</v>
      </c>
      <c r="S7" s="4">
        <f t="shared" ca="1" si="0"/>
        <v>2.7571966497137536E-2</v>
      </c>
      <c r="T7" s="4">
        <f t="shared" ca="1" si="0"/>
        <v>0</v>
      </c>
      <c r="U7" s="4">
        <f t="shared" ca="1" si="0"/>
        <v>0</v>
      </c>
      <c r="V7" s="4">
        <f t="shared" ca="1" si="0"/>
        <v>0</v>
      </c>
    </row>
    <row r="8" spans="1:22" s="4" customFormat="1" x14ac:dyDescent="0.35">
      <c r="A8" s="1">
        <v>5</v>
      </c>
      <c r="C8" s="4">
        <f t="shared" ca="1" si="1"/>
        <v>-0.4906469405715177</v>
      </c>
      <c r="D8" s="4">
        <f t="shared" ca="1" si="0"/>
        <v>0</v>
      </c>
      <c r="E8" s="4">
        <f t="shared" ca="1" si="0"/>
        <v>0</v>
      </c>
      <c r="F8" s="4">
        <f t="shared" ca="1" si="0"/>
        <v>0</v>
      </c>
      <c r="G8" s="4">
        <f t="shared" ca="1" si="0"/>
        <v>0.22152696590324394</v>
      </c>
      <c r="H8" s="4">
        <f t="shared" ca="1" si="0"/>
        <v>0</v>
      </c>
      <c r="I8" s="4">
        <f t="shared" ca="1" si="0"/>
        <v>0</v>
      </c>
      <c r="J8" s="4">
        <f t="shared" ca="1" si="0"/>
        <v>0</v>
      </c>
      <c r="K8" s="4">
        <f t="shared" ca="1" si="0"/>
        <v>-0.40744133746714523</v>
      </c>
      <c r="L8" s="4">
        <f t="shared" ca="1" si="0"/>
        <v>0</v>
      </c>
      <c r="M8" s="4">
        <f t="shared" ca="1" si="0"/>
        <v>0</v>
      </c>
      <c r="N8" s="4">
        <f t="shared" ca="1" si="0"/>
        <v>0</v>
      </c>
      <c r="O8" s="4">
        <f t="shared" ca="1" si="0"/>
        <v>-0.39932586502930573</v>
      </c>
      <c r="P8" s="4">
        <f t="shared" ca="1" si="0"/>
        <v>0</v>
      </c>
      <c r="Q8" s="4">
        <f t="shared" ca="1" si="0"/>
        <v>0</v>
      </c>
      <c r="R8" s="4">
        <f t="shared" ca="1" si="0"/>
        <v>0</v>
      </c>
      <c r="S8" s="4">
        <f t="shared" ca="1" si="0"/>
        <v>0.49186644986780653</v>
      </c>
      <c r="T8" s="4">
        <f t="shared" ca="1" si="0"/>
        <v>0</v>
      </c>
      <c r="U8" s="4">
        <f t="shared" ca="1" si="0"/>
        <v>0</v>
      </c>
      <c r="V8" s="4">
        <f t="shared" ca="1" si="0"/>
        <v>0</v>
      </c>
    </row>
    <row r="9" spans="1:22" s="4" customFormat="1" x14ac:dyDescent="0.35">
      <c r="A9" s="1">
        <v>6</v>
      </c>
      <c r="C9" s="4">
        <f t="shared" ca="1" si="1"/>
        <v>-0.71827473825027288</v>
      </c>
      <c r="D9" s="4">
        <f t="shared" ca="1" si="0"/>
        <v>0</v>
      </c>
      <c r="E9" s="4">
        <f t="shared" ca="1" si="0"/>
        <v>0</v>
      </c>
      <c r="F9" s="4">
        <f t="shared" ca="1" si="0"/>
        <v>0</v>
      </c>
      <c r="G9" s="4">
        <f t="shared" ca="1" si="0"/>
        <v>-0.22919728870574507</v>
      </c>
      <c r="H9" s="4">
        <f t="shared" ca="1" si="0"/>
        <v>0</v>
      </c>
      <c r="I9" s="4">
        <f t="shared" ca="1" si="0"/>
        <v>0</v>
      </c>
      <c r="J9" s="4">
        <f t="shared" ca="1" si="0"/>
        <v>0</v>
      </c>
      <c r="K9" s="4">
        <f t="shared" ca="1" si="0"/>
        <v>4.471684637587621E-2</v>
      </c>
      <c r="L9" s="4">
        <f t="shared" ca="1" si="0"/>
        <v>0</v>
      </c>
      <c r="M9" s="4">
        <f t="shared" ca="1" si="0"/>
        <v>0</v>
      </c>
      <c r="N9" s="4">
        <f t="shared" ca="1" si="0"/>
        <v>0</v>
      </c>
      <c r="O9" s="4">
        <f t="shared" ca="1" si="0"/>
        <v>-1.004179286141335</v>
      </c>
      <c r="P9" s="4">
        <f t="shared" ca="1" si="0"/>
        <v>0</v>
      </c>
      <c r="Q9" s="4">
        <f t="shared" ca="1" si="0"/>
        <v>0</v>
      </c>
      <c r="R9" s="4">
        <f t="shared" ca="1" si="0"/>
        <v>0</v>
      </c>
      <c r="S9" s="4">
        <f t="shared" ca="1" si="0"/>
        <v>0.40643263771272048</v>
      </c>
      <c r="T9" s="4">
        <f t="shared" ca="1" si="0"/>
        <v>0</v>
      </c>
      <c r="U9" s="4">
        <f t="shared" ca="1" si="0"/>
        <v>0</v>
      </c>
      <c r="V9" s="4">
        <f t="shared" ca="1" si="0"/>
        <v>0</v>
      </c>
    </row>
    <row r="10" spans="1:22" s="4" customFormat="1" x14ac:dyDescent="0.35">
      <c r="A10" s="1">
        <v>7</v>
      </c>
      <c r="C10" s="4">
        <f t="shared" ca="1" si="1"/>
        <v>0.21101742780706464</v>
      </c>
      <c r="D10" s="4">
        <f t="shared" ca="1" si="0"/>
        <v>0</v>
      </c>
      <c r="E10" s="4">
        <f t="shared" ca="1" si="0"/>
        <v>0</v>
      </c>
      <c r="F10" s="4">
        <f t="shared" ca="1" si="0"/>
        <v>0</v>
      </c>
      <c r="G10" s="4">
        <f t="shared" ca="1" si="0"/>
        <v>-0.77934858126536777</v>
      </c>
      <c r="H10" s="4">
        <f t="shared" ca="1" si="0"/>
        <v>0</v>
      </c>
      <c r="I10" s="4">
        <f t="shared" ca="1" si="0"/>
        <v>0</v>
      </c>
      <c r="J10" s="4">
        <f t="shared" ca="1" si="0"/>
        <v>0</v>
      </c>
      <c r="K10" s="4">
        <f t="shared" ca="1" si="0"/>
        <v>3.787546780019671E-2</v>
      </c>
      <c r="L10" s="4">
        <f t="shared" ca="1" si="0"/>
        <v>0</v>
      </c>
      <c r="M10" s="4">
        <f t="shared" ca="1" si="0"/>
        <v>0</v>
      </c>
      <c r="N10" s="4">
        <f t="shared" ca="1" si="0"/>
        <v>0</v>
      </c>
      <c r="O10" s="4">
        <f t="shared" ca="1" si="0"/>
        <v>-0.27073739302907834</v>
      </c>
      <c r="P10" s="4">
        <f t="shared" ca="1" si="0"/>
        <v>0</v>
      </c>
      <c r="Q10" s="4">
        <f t="shared" ca="1" si="0"/>
        <v>0</v>
      </c>
      <c r="R10" s="4">
        <f t="shared" ca="1" si="0"/>
        <v>0</v>
      </c>
      <c r="S10" s="4">
        <f t="shared" ca="1" si="0"/>
        <v>-4.4193506813712341E-2</v>
      </c>
      <c r="T10" s="4">
        <f t="shared" ca="1" si="0"/>
        <v>0</v>
      </c>
      <c r="U10" s="4">
        <f t="shared" ca="1" si="0"/>
        <v>0</v>
      </c>
      <c r="V10" s="4">
        <f t="shared" ca="1" si="0"/>
        <v>0</v>
      </c>
    </row>
    <row r="11" spans="1:22" s="4" customFormat="1" x14ac:dyDescent="0.35">
      <c r="A11" s="1">
        <v>8</v>
      </c>
      <c r="C11" s="4">
        <f t="shared" ca="1" si="1"/>
        <v>0.35394144855949888</v>
      </c>
      <c r="D11" s="4">
        <f t="shared" ca="1" si="0"/>
        <v>0</v>
      </c>
      <c r="E11" s="4">
        <f t="shared" ca="1" si="0"/>
        <v>0</v>
      </c>
      <c r="F11" s="4">
        <f t="shared" ca="1" si="0"/>
        <v>0</v>
      </c>
      <c r="G11" s="4">
        <f t="shared" ca="1" si="0"/>
        <v>0.91199829780721775</v>
      </c>
      <c r="H11" s="4">
        <f t="shared" ca="1" si="0"/>
        <v>0</v>
      </c>
      <c r="I11" s="4">
        <f t="shared" ca="1" si="0"/>
        <v>0</v>
      </c>
      <c r="J11" s="4">
        <f t="shared" ca="1" si="0"/>
        <v>0</v>
      </c>
      <c r="K11" s="4">
        <f t="shared" ca="1" si="0"/>
        <v>-1.2522702311569904</v>
      </c>
      <c r="L11" s="4">
        <f t="shared" ca="1" si="0"/>
        <v>0</v>
      </c>
      <c r="M11" s="4">
        <f t="shared" ca="1" si="0"/>
        <v>0</v>
      </c>
      <c r="N11" s="4">
        <f t="shared" ca="1" si="0"/>
        <v>0</v>
      </c>
      <c r="O11" s="4">
        <f t="shared" ca="1" si="0"/>
        <v>-0.16538293601977674</v>
      </c>
      <c r="P11" s="4">
        <f t="shared" ca="1" si="0"/>
        <v>0</v>
      </c>
      <c r="Q11" s="4">
        <f t="shared" ca="1" si="0"/>
        <v>0</v>
      </c>
      <c r="R11" s="4">
        <f t="shared" ca="1" si="0"/>
        <v>0</v>
      </c>
      <c r="S11" s="4">
        <f t="shared" ca="1" si="0"/>
        <v>0.99043047023026431</v>
      </c>
      <c r="T11" s="4">
        <f t="shared" ca="1" si="0"/>
        <v>0</v>
      </c>
      <c r="U11" s="4">
        <f t="shared" ca="1" si="0"/>
        <v>0</v>
      </c>
      <c r="V11" s="4">
        <f t="shared" ca="1" si="0"/>
        <v>0</v>
      </c>
    </row>
    <row r="12" spans="1:22" s="4" customFormat="1" x14ac:dyDescent="0.35">
      <c r="A12" s="1">
        <v>9</v>
      </c>
      <c r="C12" s="4">
        <f t="shared" ca="1" si="1"/>
        <v>0.31361341325075631</v>
      </c>
      <c r="D12" s="4">
        <f t="shared" ca="1" si="0"/>
        <v>0</v>
      </c>
      <c r="E12" s="4">
        <f t="shared" ca="1" si="0"/>
        <v>0</v>
      </c>
      <c r="F12" s="4">
        <f t="shared" ca="1" si="0"/>
        <v>0</v>
      </c>
      <c r="G12" s="4">
        <f t="shared" ca="1" si="0"/>
        <v>0.25060491457487138</v>
      </c>
      <c r="H12" s="4">
        <f t="shared" ca="1" si="0"/>
        <v>0</v>
      </c>
      <c r="I12" s="4">
        <f t="shared" ca="1" si="0"/>
        <v>0</v>
      </c>
      <c r="J12" s="4">
        <f t="shared" ca="1" si="0"/>
        <v>0</v>
      </c>
      <c r="K12" s="4">
        <f t="shared" ca="1" si="0"/>
        <v>-0.49082511823109298</v>
      </c>
      <c r="L12" s="4">
        <f t="shared" ca="1" si="0"/>
        <v>0</v>
      </c>
      <c r="M12" s="4">
        <f t="shared" ca="1" si="0"/>
        <v>0</v>
      </c>
      <c r="N12" s="4">
        <f t="shared" ca="1" si="0"/>
        <v>0</v>
      </c>
      <c r="O12" s="4">
        <f t="shared" ca="1" si="0"/>
        <v>-0.81872334192399021</v>
      </c>
      <c r="P12" s="4">
        <f t="shared" ca="1" si="0"/>
        <v>0</v>
      </c>
      <c r="Q12" s="4">
        <f t="shared" ca="1" si="0"/>
        <v>0</v>
      </c>
      <c r="R12" s="4">
        <f t="shared" ca="1" si="0"/>
        <v>0</v>
      </c>
      <c r="S12" s="4">
        <f t="shared" ca="1" si="0"/>
        <v>0.14000363183873313</v>
      </c>
      <c r="T12" s="4">
        <f t="shared" ca="1" si="0"/>
        <v>0</v>
      </c>
      <c r="U12" s="4">
        <f t="shared" ca="1" si="0"/>
        <v>0</v>
      </c>
      <c r="V12" s="4">
        <f t="shared" ca="1" si="0"/>
        <v>0</v>
      </c>
    </row>
    <row r="13" spans="1:22" s="4" customFormat="1" x14ac:dyDescent="0.35">
      <c r="A13" s="1">
        <v>10</v>
      </c>
      <c r="C13" s="4">
        <f t="shared" ca="1" si="1"/>
        <v>-0.30037360636424215</v>
      </c>
      <c r="D13" s="4">
        <f t="shared" ca="1" si="0"/>
        <v>0</v>
      </c>
      <c r="E13" s="4">
        <f t="shared" ca="1" si="0"/>
        <v>0</v>
      </c>
      <c r="F13" s="4">
        <f t="shared" ca="1" si="0"/>
        <v>0</v>
      </c>
      <c r="G13" s="4">
        <f t="shared" ca="1" si="0"/>
        <v>-0.32624596289310298</v>
      </c>
      <c r="H13" s="4">
        <f t="shared" ca="1" si="0"/>
        <v>0</v>
      </c>
      <c r="I13" s="4">
        <f t="shared" ca="1" si="0"/>
        <v>0</v>
      </c>
      <c r="J13" s="4">
        <f t="shared" ca="1" si="0"/>
        <v>0</v>
      </c>
      <c r="K13" s="4">
        <f t="shared" ca="1" si="0"/>
        <v>-0.46073302316361381</v>
      </c>
      <c r="L13" s="4">
        <f t="shared" ca="1" si="0"/>
        <v>0</v>
      </c>
      <c r="M13" s="4">
        <f t="shared" ca="1" si="0"/>
        <v>0</v>
      </c>
      <c r="N13" s="4">
        <f t="shared" ca="1" si="0"/>
        <v>0</v>
      </c>
      <c r="O13" s="4">
        <f t="shared" ca="1" si="0"/>
        <v>2.8563444802466944E-2</v>
      </c>
      <c r="P13" s="4">
        <f t="shared" ca="1" si="0"/>
        <v>0</v>
      </c>
      <c r="Q13" s="4">
        <f t="shared" ca="1" si="0"/>
        <v>0</v>
      </c>
      <c r="R13" s="4">
        <f t="shared" ca="1" si="0"/>
        <v>0</v>
      </c>
      <c r="S13" s="4">
        <f t="shared" ca="1" si="0"/>
        <v>0.20682886492432553</v>
      </c>
      <c r="T13" s="4">
        <f t="shared" ca="1" si="0"/>
        <v>0</v>
      </c>
      <c r="U13" s="4">
        <f t="shared" ca="1" si="0"/>
        <v>0</v>
      </c>
      <c r="V13" s="4">
        <f t="shared" ca="1" si="0"/>
        <v>0</v>
      </c>
    </row>
    <row r="14" spans="1:22" s="4" customFormat="1" x14ac:dyDescent="0.35">
      <c r="A14" s="1">
        <v>11</v>
      </c>
      <c r="C14" s="4">
        <f t="shared" ca="1" si="1"/>
        <v>0.47576008173262929</v>
      </c>
      <c r="D14" s="4">
        <f t="shared" ca="1" si="0"/>
        <v>0</v>
      </c>
      <c r="E14" s="4">
        <f t="shared" ca="1" si="0"/>
        <v>0</v>
      </c>
      <c r="F14" s="4">
        <f t="shared" ca="1" si="0"/>
        <v>0</v>
      </c>
      <c r="G14" s="4">
        <f t="shared" ca="1" si="0"/>
        <v>0.42344944025755654</v>
      </c>
      <c r="H14" s="4">
        <f t="shared" ca="1" si="0"/>
        <v>0</v>
      </c>
      <c r="I14" s="4">
        <f t="shared" ca="1" si="0"/>
        <v>0</v>
      </c>
      <c r="J14" s="4">
        <f t="shared" ca="1" si="0"/>
        <v>0</v>
      </c>
      <c r="K14" s="4">
        <f t="shared" ca="1" si="0"/>
        <v>-0.61321115200966136</v>
      </c>
      <c r="L14" s="4">
        <f t="shared" ca="1" si="0"/>
        <v>0</v>
      </c>
      <c r="M14" s="4">
        <f t="shared" ca="1" si="0"/>
        <v>0</v>
      </c>
      <c r="N14" s="4">
        <f t="shared" ca="1" si="0"/>
        <v>0</v>
      </c>
      <c r="O14" s="4">
        <f t="shared" ca="1" si="0"/>
        <v>-0.87862629271400783</v>
      </c>
      <c r="P14" s="4">
        <f t="shared" ca="1" si="0"/>
        <v>0</v>
      </c>
      <c r="Q14" s="4">
        <f t="shared" ca="1" si="0"/>
        <v>0</v>
      </c>
      <c r="R14" s="4">
        <f t="shared" ca="1" si="0"/>
        <v>0</v>
      </c>
      <c r="S14" s="4">
        <f t="shared" ca="1" si="0"/>
        <v>-0.27590432102404966</v>
      </c>
      <c r="T14" s="4">
        <f t="shared" ca="1" si="0"/>
        <v>0</v>
      </c>
      <c r="U14" s="4">
        <f t="shared" ca="1" si="0"/>
        <v>0</v>
      </c>
      <c r="V14" s="4">
        <f t="shared" ca="1" si="0"/>
        <v>0</v>
      </c>
    </row>
    <row r="15" spans="1:22" s="4" customFormat="1" x14ac:dyDescent="0.35">
      <c r="A15" s="1">
        <v>12</v>
      </c>
      <c r="C15" s="4">
        <f t="shared" ca="1" si="1"/>
        <v>0.53318437292285004</v>
      </c>
      <c r="D15" s="4">
        <f t="shared" ca="1" si="0"/>
        <v>0</v>
      </c>
      <c r="E15" s="4">
        <f t="shared" ca="1" si="0"/>
        <v>0</v>
      </c>
      <c r="F15" s="4">
        <f t="shared" ca="1" si="0"/>
        <v>0</v>
      </c>
      <c r="G15" s="4">
        <f t="shared" ca="1" si="0"/>
        <v>-0.80911983144490196</v>
      </c>
      <c r="H15" s="4">
        <f t="shared" ca="1" si="0"/>
        <v>0</v>
      </c>
      <c r="I15" s="4">
        <f t="shared" ca="1" si="0"/>
        <v>0</v>
      </c>
      <c r="J15" s="4">
        <f t="shared" ca="1" si="0"/>
        <v>0</v>
      </c>
      <c r="K15" s="4">
        <f t="shared" ca="1" si="0"/>
        <v>0.49258161293302166</v>
      </c>
      <c r="L15" s="4">
        <f t="shared" ca="1" si="0"/>
        <v>0</v>
      </c>
      <c r="M15" s="4">
        <f t="shared" ca="1" si="0"/>
        <v>0</v>
      </c>
      <c r="N15" s="4">
        <f t="shared" ca="1" si="0"/>
        <v>0</v>
      </c>
      <c r="O15" s="4">
        <f t="shared" ca="1" si="0"/>
        <v>-0.38269171317582623</v>
      </c>
      <c r="P15" s="4">
        <f t="shared" ca="1" si="0"/>
        <v>0</v>
      </c>
      <c r="Q15" s="4">
        <f t="shared" ca="1" si="0"/>
        <v>0</v>
      </c>
      <c r="R15" s="4">
        <f t="shared" ca="1" si="0"/>
        <v>0</v>
      </c>
      <c r="S15" s="4">
        <f t="shared" ca="1" si="0"/>
        <v>-0.15166130494332564</v>
      </c>
      <c r="T15" s="4">
        <f t="shared" ca="1" si="0"/>
        <v>0</v>
      </c>
      <c r="U15" s="4">
        <f t="shared" ca="1" si="0"/>
        <v>0</v>
      </c>
      <c r="V15" s="4">
        <f t="shared" ca="1" si="0"/>
        <v>0</v>
      </c>
    </row>
    <row r="16" spans="1:22" s="4" customFormat="1" x14ac:dyDescent="0.35">
      <c r="A16" s="1">
        <v>13</v>
      </c>
      <c r="C16" s="4">
        <f t="shared" ca="1" si="1"/>
        <v>-6.6254062450619988E-2</v>
      </c>
      <c r="D16" s="4">
        <f t="shared" ca="1" si="0"/>
        <v>0</v>
      </c>
      <c r="E16" s="4">
        <f t="shared" ca="1" si="0"/>
        <v>0</v>
      </c>
      <c r="F16" s="4">
        <f t="shared" ca="1" si="0"/>
        <v>0</v>
      </c>
      <c r="G16" s="4">
        <f t="shared" ca="1" si="0"/>
        <v>-0.95802659500783249</v>
      </c>
      <c r="H16" s="4">
        <f t="shared" ca="1" si="0"/>
        <v>0</v>
      </c>
      <c r="I16" s="4">
        <f t="shared" ca="1" si="0"/>
        <v>0</v>
      </c>
      <c r="J16" s="4">
        <f t="shared" ca="1" si="0"/>
        <v>0</v>
      </c>
      <c r="K16" s="4">
        <f t="shared" ca="1" si="0"/>
        <v>0.31708418411577555</v>
      </c>
      <c r="L16" s="4">
        <f t="shared" ca="1" si="0"/>
        <v>0</v>
      </c>
      <c r="M16" s="4">
        <f t="shared" ca="1" si="0"/>
        <v>0</v>
      </c>
      <c r="N16" s="4">
        <f t="shared" ca="1" si="0"/>
        <v>0</v>
      </c>
      <c r="O16" s="4">
        <f t="shared" ca="1" si="0"/>
        <v>0.33395540787675104</v>
      </c>
      <c r="P16" s="4">
        <f t="shared" ca="1" si="0"/>
        <v>0</v>
      </c>
      <c r="Q16" s="4">
        <f t="shared" ca="1" si="0"/>
        <v>0</v>
      </c>
      <c r="R16" s="4">
        <f t="shared" ca="1" si="0"/>
        <v>0</v>
      </c>
      <c r="S16" s="4">
        <f t="shared" ca="1" si="0"/>
        <v>0.88514526677813554</v>
      </c>
      <c r="T16" s="4">
        <f t="shared" ca="1" si="0"/>
        <v>0</v>
      </c>
      <c r="U16" s="4">
        <f t="shared" ca="1" si="0"/>
        <v>0</v>
      </c>
      <c r="V16" s="4">
        <f t="shared" ca="1" si="0"/>
        <v>0</v>
      </c>
    </row>
    <row r="17" spans="1:22" s="4" customFormat="1" x14ac:dyDescent="0.35">
      <c r="A17" s="1">
        <v>14</v>
      </c>
      <c r="C17" s="4">
        <f t="shared" ca="1" si="1"/>
        <v>9.2250112247103014E-2</v>
      </c>
      <c r="D17" s="4">
        <f t="shared" ca="1" si="0"/>
        <v>0</v>
      </c>
      <c r="E17" s="4">
        <f t="shared" ca="1" si="0"/>
        <v>0</v>
      </c>
      <c r="F17" s="4">
        <f t="shared" ca="1" si="0"/>
        <v>0</v>
      </c>
      <c r="G17" s="4">
        <f t="shared" ca="1" si="0"/>
        <v>-0.27811499305640019</v>
      </c>
      <c r="H17" s="4">
        <f t="shared" ca="1" si="0"/>
        <v>0</v>
      </c>
      <c r="I17" s="4">
        <f t="shared" ca="1" si="0"/>
        <v>0</v>
      </c>
      <c r="J17" s="4">
        <f t="shared" ca="1" si="0"/>
        <v>0</v>
      </c>
      <c r="K17" s="4">
        <f t="shared" ca="1" si="0"/>
        <v>-0.41415822671030023</v>
      </c>
      <c r="L17" s="4">
        <f t="shared" ref="L17:V32" ca="1" si="2">IF(L$2&gt;0,_xlfn.NORM.INV(RAND(), 0, 0.5),0)</f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-0.14732467391678</v>
      </c>
      <c r="P17" s="4">
        <f t="shared" ca="1" si="2"/>
        <v>0</v>
      </c>
      <c r="Q17" s="4">
        <f t="shared" ca="1" si="2"/>
        <v>0</v>
      </c>
      <c r="R17" s="4">
        <f t="shared" ca="1" si="2"/>
        <v>0</v>
      </c>
      <c r="S17" s="4">
        <f t="shared" ca="1" si="2"/>
        <v>-0.78355715152607597</v>
      </c>
      <c r="T17" s="4">
        <f t="shared" ca="1" si="2"/>
        <v>0</v>
      </c>
      <c r="U17" s="4">
        <f t="shared" ca="1" si="2"/>
        <v>0</v>
      </c>
      <c r="V17" s="4">
        <f t="shared" ca="1" si="2"/>
        <v>0</v>
      </c>
    </row>
    <row r="18" spans="1:22" s="4" customFormat="1" x14ac:dyDescent="0.35">
      <c r="A18" s="1">
        <v>15</v>
      </c>
      <c r="C18" s="4">
        <f t="shared" ca="1" si="1"/>
        <v>-9.7897496534700507E-2</v>
      </c>
      <c r="D18" s="4">
        <f t="shared" ca="1" si="1"/>
        <v>0</v>
      </c>
      <c r="E18" s="4">
        <f t="shared" ca="1" si="1"/>
        <v>0</v>
      </c>
      <c r="F18" s="4">
        <f t="shared" ca="1" si="1"/>
        <v>0</v>
      </c>
      <c r="G18" s="4">
        <f t="shared" ca="1" si="1"/>
        <v>0.79456007717866062</v>
      </c>
      <c r="H18" s="4">
        <f t="shared" ca="1" si="1"/>
        <v>0</v>
      </c>
      <c r="I18" s="4">
        <f t="shared" ca="1" si="1"/>
        <v>0</v>
      </c>
      <c r="J18" s="4">
        <f t="shared" ca="1" si="1"/>
        <v>0</v>
      </c>
      <c r="K18" s="4">
        <f t="shared" ca="1" si="1"/>
        <v>-1.4451353014799146</v>
      </c>
      <c r="L18" s="4">
        <f t="shared" ca="1" si="1"/>
        <v>0</v>
      </c>
      <c r="M18" s="4">
        <f t="shared" ca="1" si="1"/>
        <v>0</v>
      </c>
      <c r="N18" s="4">
        <f t="shared" ca="1" si="1"/>
        <v>0</v>
      </c>
      <c r="O18" s="4">
        <f t="shared" ca="1" si="1"/>
        <v>-1.5593809816041632E-3</v>
      </c>
      <c r="P18" s="4">
        <f t="shared" ca="1" si="1"/>
        <v>0</v>
      </c>
      <c r="Q18" s="4">
        <f t="shared" ca="1" si="1"/>
        <v>0</v>
      </c>
      <c r="R18" s="4">
        <f t="shared" ca="1" si="1"/>
        <v>0</v>
      </c>
      <c r="S18" s="4">
        <f t="shared" ca="1" si="2"/>
        <v>0.3382280873641304</v>
      </c>
      <c r="T18" s="4">
        <f t="shared" ca="1" si="2"/>
        <v>0</v>
      </c>
      <c r="U18" s="4">
        <f t="shared" ca="1" si="2"/>
        <v>0</v>
      </c>
      <c r="V18" s="4">
        <f t="shared" ca="1" si="2"/>
        <v>0</v>
      </c>
    </row>
    <row r="19" spans="1:22" s="4" customFormat="1" x14ac:dyDescent="0.35">
      <c r="A19" s="1">
        <v>16</v>
      </c>
      <c r="C19" s="4">
        <f t="shared" ca="1" si="1"/>
        <v>-0.24347997080112813</v>
      </c>
      <c r="D19" s="4">
        <f t="shared" ca="1" si="1"/>
        <v>0</v>
      </c>
      <c r="E19" s="4">
        <f t="shared" ca="1" si="1"/>
        <v>0</v>
      </c>
      <c r="F19" s="4">
        <f t="shared" ca="1" si="1"/>
        <v>0</v>
      </c>
      <c r="G19" s="4">
        <f t="shared" ca="1" si="1"/>
        <v>0.27991915983183985</v>
      </c>
      <c r="H19" s="4">
        <f t="shared" ca="1" si="1"/>
        <v>0</v>
      </c>
      <c r="I19" s="4">
        <f t="shared" ca="1" si="1"/>
        <v>0</v>
      </c>
      <c r="J19" s="4">
        <f t="shared" ca="1" si="1"/>
        <v>0</v>
      </c>
      <c r="K19" s="4">
        <f t="shared" ca="1" si="1"/>
        <v>1.1675226235690428</v>
      </c>
      <c r="L19" s="4">
        <f t="shared" ca="1" si="1"/>
        <v>0</v>
      </c>
      <c r="M19" s="4">
        <f t="shared" ca="1" si="1"/>
        <v>0</v>
      </c>
      <c r="N19" s="4">
        <f t="shared" ca="1" si="1"/>
        <v>0</v>
      </c>
      <c r="O19" s="4">
        <f t="shared" ca="1" si="1"/>
        <v>0.19204157455527696</v>
      </c>
      <c r="P19" s="4">
        <f t="shared" ca="1" si="1"/>
        <v>0</v>
      </c>
      <c r="Q19" s="4">
        <f t="shared" ca="1" si="1"/>
        <v>0</v>
      </c>
      <c r="R19" s="4">
        <f t="shared" ca="1" si="1"/>
        <v>0</v>
      </c>
      <c r="S19" s="4">
        <f t="shared" ca="1" si="2"/>
        <v>1.7808170524493652E-2</v>
      </c>
      <c r="T19" s="4">
        <f t="shared" ca="1" si="2"/>
        <v>0</v>
      </c>
      <c r="U19" s="4">
        <f t="shared" ca="1" si="2"/>
        <v>0</v>
      </c>
      <c r="V19" s="4">
        <f t="shared" ca="1" si="2"/>
        <v>0</v>
      </c>
    </row>
    <row r="20" spans="1:22" s="4" customFormat="1" x14ac:dyDescent="0.35">
      <c r="A20" s="1">
        <v>17</v>
      </c>
      <c r="C20" s="4">
        <f t="shared" ca="1" si="1"/>
        <v>0.4815110368672354</v>
      </c>
      <c r="D20" s="4">
        <f t="shared" ca="1" si="1"/>
        <v>0</v>
      </c>
      <c r="E20" s="4">
        <f t="shared" ca="1" si="1"/>
        <v>0</v>
      </c>
      <c r="F20" s="4">
        <f t="shared" ca="1" si="1"/>
        <v>0</v>
      </c>
      <c r="G20" s="4">
        <f t="shared" ca="1" si="1"/>
        <v>-0.31361600036014892</v>
      </c>
      <c r="H20" s="4">
        <f t="shared" ca="1" si="1"/>
        <v>0</v>
      </c>
      <c r="I20" s="4">
        <f t="shared" ca="1" si="1"/>
        <v>0</v>
      </c>
      <c r="J20" s="4">
        <f t="shared" ca="1" si="1"/>
        <v>0</v>
      </c>
      <c r="K20" s="4">
        <f t="shared" ca="1" si="1"/>
        <v>0.25136146860329389</v>
      </c>
      <c r="L20" s="4">
        <f t="shared" ca="1" si="1"/>
        <v>0</v>
      </c>
      <c r="M20" s="4">
        <f t="shared" ca="1" si="1"/>
        <v>0</v>
      </c>
      <c r="N20" s="4">
        <f t="shared" ca="1" si="1"/>
        <v>0</v>
      </c>
      <c r="O20" s="4">
        <f t="shared" ca="1" si="1"/>
        <v>0.41383987134015365</v>
      </c>
      <c r="P20" s="4">
        <f t="shared" ca="1" si="1"/>
        <v>0</v>
      </c>
      <c r="Q20" s="4">
        <f t="shared" ca="1" si="1"/>
        <v>0</v>
      </c>
      <c r="R20" s="4">
        <f t="shared" ca="1" si="1"/>
        <v>0</v>
      </c>
      <c r="S20" s="4">
        <f t="shared" ca="1" si="2"/>
        <v>0.21143826146470973</v>
      </c>
      <c r="T20" s="4">
        <f t="shared" ca="1" si="2"/>
        <v>0</v>
      </c>
      <c r="U20" s="4">
        <f t="shared" ca="1" si="2"/>
        <v>0</v>
      </c>
      <c r="V20" s="4">
        <f t="shared" ca="1" si="2"/>
        <v>0</v>
      </c>
    </row>
    <row r="21" spans="1:22" s="4" customFormat="1" x14ac:dyDescent="0.35">
      <c r="A21" s="1">
        <v>18</v>
      </c>
      <c r="C21" s="4">
        <f t="shared" ca="1" si="1"/>
        <v>-0.47635581943554528</v>
      </c>
      <c r="D21" s="4">
        <f t="shared" ca="1" si="1"/>
        <v>0</v>
      </c>
      <c r="E21" s="4">
        <f t="shared" ca="1" si="1"/>
        <v>0</v>
      </c>
      <c r="F21" s="4">
        <f t="shared" ca="1" si="1"/>
        <v>0</v>
      </c>
      <c r="G21" s="4">
        <f t="shared" ca="1" si="1"/>
        <v>-0.48256898168301571</v>
      </c>
      <c r="H21" s="4">
        <f t="shared" ca="1" si="1"/>
        <v>0</v>
      </c>
      <c r="I21" s="4">
        <f t="shared" ca="1" si="1"/>
        <v>0</v>
      </c>
      <c r="J21" s="4">
        <f t="shared" ca="1" si="1"/>
        <v>0</v>
      </c>
      <c r="K21" s="4">
        <f t="shared" ca="1" si="1"/>
        <v>-0.21960131054273951</v>
      </c>
      <c r="L21" s="4">
        <f t="shared" ca="1" si="1"/>
        <v>0</v>
      </c>
      <c r="M21" s="4">
        <f t="shared" ca="1" si="1"/>
        <v>0</v>
      </c>
      <c r="N21" s="4">
        <f t="shared" ca="1" si="1"/>
        <v>0</v>
      </c>
      <c r="O21" s="4">
        <f t="shared" ca="1" si="1"/>
        <v>1.3501931003739851</v>
      </c>
      <c r="P21" s="4">
        <f t="shared" ca="1" si="1"/>
        <v>0</v>
      </c>
      <c r="Q21" s="4">
        <f t="shared" ca="1" si="1"/>
        <v>0</v>
      </c>
      <c r="R21" s="4">
        <f t="shared" ca="1" si="1"/>
        <v>0</v>
      </c>
      <c r="S21" s="4">
        <f t="shared" ca="1" si="2"/>
        <v>0.47169847637743945</v>
      </c>
      <c r="T21" s="4">
        <f t="shared" ca="1" si="2"/>
        <v>0</v>
      </c>
      <c r="U21" s="4">
        <f t="shared" ca="1" si="2"/>
        <v>0</v>
      </c>
      <c r="V21" s="4">
        <f t="shared" ca="1" si="2"/>
        <v>0</v>
      </c>
    </row>
    <row r="22" spans="1:22" s="4" customFormat="1" x14ac:dyDescent="0.35">
      <c r="A22" s="1">
        <v>19</v>
      </c>
      <c r="C22" s="4">
        <f t="shared" ca="1" si="1"/>
        <v>0.17113166762386026</v>
      </c>
      <c r="D22" s="4">
        <f t="shared" ca="1" si="1"/>
        <v>0</v>
      </c>
      <c r="E22" s="4">
        <f t="shared" ca="1" si="1"/>
        <v>0</v>
      </c>
      <c r="F22" s="4">
        <f t="shared" ca="1" si="1"/>
        <v>0</v>
      </c>
      <c r="G22" s="4">
        <f t="shared" ca="1" si="1"/>
        <v>-0.6937449902004692</v>
      </c>
      <c r="H22" s="4">
        <f t="shared" ca="1" si="1"/>
        <v>0</v>
      </c>
      <c r="I22" s="4">
        <f t="shared" ca="1" si="1"/>
        <v>0</v>
      </c>
      <c r="J22" s="4">
        <f t="shared" ca="1" si="1"/>
        <v>0</v>
      </c>
      <c r="K22" s="4">
        <f t="shared" ca="1" si="1"/>
        <v>0.19071600298396241</v>
      </c>
      <c r="L22" s="4">
        <f t="shared" ca="1" si="1"/>
        <v>0</v>
      </c>
      <c r="M22" s="4">
        <f t="shared" ca="1" si="1"/>
        <v>0</v>
      </c>
      <c r="N22" s="4">
        <f t="shared" ca="1" si="1"/>
        <v>0</v>
      </c>
      <c r="O22" s="4">
        <f t="shared" ca="1" si="1"/>
        <v>0.10312387995305572</v>
      </c>
      <c r="P22" s="4">
        <f t="shared" ca="1" si="1"/>
        <v>0</v>
      </c>
      <c r="Q22" s="4">
        <f t="shared" ca="1" si="1"/>
        <v>0</v>
      </c>
      <c r="R22" s="4">
        <f t="shared" ca="1" si="1"/>
        <v>0</v>
      </c>
      <c r="S22" s="4">
        <f t="shared" ca="1" si="2"/>
        <v>0.43742536144878663</v>
      </c>
      <c r="T22" s="4">
        <f t="shared" ca="1" si="2"/>
        <v>0</v>
      </c>
      <c r="U22" s="4">
        <f t="shared" ca="1" si="2"/>
        <v>0</v>
      </c>
      <c r="V22" s="4">
        <f t="shared" ca="1" si="2"/>
        <v>0</v>
      </c>
    </row>
    <row r="23" spans="1:22" s="4" customFormat="1" x14ac:dyDescent="0.35">
      <c r="A23" s="1">
        <v>20</v>
      </c>
      <c r="C23" s="4">
        <f t="shared" ca="1" si="1"/>
        <v>-0.22854316014852272</v>
      </c>
      <c r="D23" s="4">
        <f t="shared" ca="1" si="1"/>
        <v>0</v>
      </c>
      <c r="E23" s="4">
        <f t="shared" ca="1" si="1"/>
        <v>0</v>
      </c>
      <c r="F23" s="4">
        <f t="shared" ca="1" si="1"/>
        <v>0</v>
      </c>
      <c r="G23" s="4">
        <f t="shared" ca="1" si="1"/>
        <v>-0.31525106113033685</v>
      </c>
      <c r="H23" s="4">
        <f t="shared" ca="1" si="1"/>
        <v>0</v>
      </c>
      <c r="I23" s="4">
        <f t="shared" ca="1" si="1"/>
        <v>0</v>
      </c>
      <c r="J23" s="4">
        <f t="shared" ca="1" si="1"/>
        <v>0</v>
      </c>
      <c r="K23" s="4">
        <f t="shared" ca="1" si="1"/>
        <v>5.4428294632431491E-2</v>
      </c>
      <c r="L23" s="4">
        <f t="shared" ca="1" si="1"/>
        <v>0</v>
      </c>
      <c r="M23" s="4">
        <f t="shared" ca="1" si="1"/>
        <v>0</v>
      </c>
      <c r="N23" s="4">
        <f t="shared" ca="1" si="1"/>
        <v>0</v>
      </c>
      <c r="O23" s="4">
        <f t="shared" ca="1" si="1"/>
        <v>-0.54678310146636777</v>
      </c>
      <c r="P23" s="4">
        <f t="shared" ca="1" si="1"/>
        <v>0</v>
      </c>
      <c r="Q23" s="4">
        <f t="shared" ca="1" si="1"/>
        <v>0</v>
      </c>
      <c r="R23" s="4">
        <f t="shared" ca="1" si="1"/>
        <v>0</v>
      </c>
      <c r="S23" s="4">
        <f t="shared" ca="1" si="2"/>
        <v>0.51665951481738415</v>
      </c>
      <c r="T23" s="4">
        <f t="shared" ca="1" si="2"/>
        <v>0</v>
      </c>
      <c r="U23" s="4">
        <f t="shared" ca="1" si="2"/>
        <v>0</v>
      </c>
      <c r="V23" s="4">
        <f t="shared" ca="1" si="2"/>
        <v>0</v>
      </c>
    </row>
    <row r="24" spans="1:22" s="4" customFormat="1" x14ac:dyDescent="0.35">
      <c r="A24" s="1">
        <v>21</v>
      </c>
      <c r="C24" s="4">
        <f t="shared" ca="1" si="1"/>
        <v>0.24938749770545182</v>
      </c>
      <c r="D24" s="4">
        <f t="shared" ca="1" si="1"/>
        <v>0</v>
      </c>
      <c r="E24" s="4">
        <f t="shared" ca="1" si="1"/>
        <v>0</v>
      </c>
      <c r="F24" s="4">
        <f t="shared" ca="1" si="1"/>
        <v>0</v>
      </c>
      <c r="G24" s="4">
        <f t="shared" ca="1" si="1"/>
        <v>-0.19528660474898224</v>
      </c>
      <c r="H24" s="4">
        <f t="shared" ca="1" si="1"/>
        <v>0</v>
      </c>
      <c r="I24" s="4">
        <f t="shared" ca="1" si="1"/>
        <v>0</v>
      </c>
      <c r="J24" s="4">
        <f t="shared" ca="1" si="1"/>
        <v>0</v>
      </c>
      <c r="K24" s="4">
        <f t="shared" ca="1" si="1"/>
        <v>0.15381831633688225</v>
      </c>
      <c r="L24" s="4">
        <f t="shared" ca="1" si="1"/>
        <v>0</v>
      </c>
      <c r="M24" s="4">
        <f t="shared" ca="1" si="1"/>
        <v>0</v>
      </c>
      <c r="N24" s="4">
        <f t="shared" ca="1" si="1"/>
        <v>0</v>
      </c>
      <c r="O24" s="4">
        <f t="shared" ca="1" si="1"/>
        <v>0.34809566291967076</v>
      </c>
      <c r="P24" s="4">
        <f t="shared" ca="1" si="1"/>
        <v>0</v>
      </c>
      <c r="Q24" s="4">
        <f t="shared" ca="1" si="1"/>
        <v>0</v>
      </c>
      <c r="R24" s="4">
        <f t="shared" ca="1" si="1"/>
        <v>0</v>
      </c>
      <c r="S24" s="4">
        <f t="shared" ca="1" si="2"/>
        <v>-4.5600533345314082E-2</v>
      </c>
      <c r="T24" s="4">
        <f t="shared" ca="1" si="2"/>
        <v>0</v>
      </c>
      <c r="U24" s="4">
        <f t="shared" ca="1" si="2"/>
        <v>0</v>
      </c>
      <c r="V24" s="4">
        <f t="shared" ca="1" si="2"/>
        <v>0</v>
      </c>
    </row>
    <row r="25" spans="1:22" s="4" customFormat="1" x14ac:dyDescent="0.35">
      <c r="A25" s="1">
        <v>22</v>
      </c>
      <c r="C25" s="4">
        <f t="shared" ca="1" si="1"/>
        <v>0.14609671090067614</v>
      </c>
      <c r="D25" s="4">
        <f t="shared" ca="1" si="1"/>
        <v>0</v>
      </c>
      <c r="E25" s="4">
        <f t="shared" ca="1" si="1"/>
        <v>0</v>
      </c>
      <c r="F25" s="4">
        <f t="shared" ca="1" si="1"/>
        <v>0</v>
      </c>
      <c r="G25" s="4">
        <f t="shared" ca="1" si="1"/>
        <v>0.48747508960568503</v>
      </c>
      <c r="H25" s="4">
        <f t="shared" ca="1" si="1"/>
        <v>0</v>
      </c>
      <c r="I25" s="4">
        <f t="shared" ca="1" si="1"/>
        <v>0</v>
      </c>
      <c r="J25" s="4">
        <f t="shared" ca="1" si="1"/>
        <v>0</v>
      </c>
      <c r="K25" s="4">
        <f t="shared" ca="1" si="1"/>
        <v>0.29403355984835011</v>
      </c>
      <c r="L25" s="4">
        <f t="shared" ca="1" si="1"/>
        <v>0</v>
      </c>
      <c r="M25" s="4">
        <f t="shared" ca="1" si="1"/>
        <v>0</v>
      </c>
      <c r="N25" s="4">
        <f t="shared" ca="1" si="1"/>
        <v>0</v>
      </c>
      <c r="O25" s="4">
        <f t="shared" ca="1" si="1"/>
        <v>-8.4034232660384858E-2</v>
      </c>
      <c r="P25" s="4">
        <f t="shared" ca="1" si="1"/>
        <v>0</v>
      </c>
      <c r="Q25" s="4">
        <f t="shared" ca="1" si="1"/>
        <v>0</v>
      </c>
      <c r="R25" s="4">
        <f t="shared" ca="1" si="1"/>
        <v>0</v>
      </c>
      <c r="S25" s="4">
        <f t="shared" ca="1" si="2"/>
        <v>0.25677411465788591</v>
      </c>
      <c r="T25" s="4">
        <f t="shared" ca="1" si="2"/>
        <v>0</v>
      </c>
      <c r="U25" s="4">
        <f t="shared" ca="1" si="2"/>
        <v>0</v>
      </c>
      <c r="V25" s="4">
        <f t="shared" ca="1" si="2"/>
        <v>0</v>
      </c>
    </row>
    <row r="26" spans="1:22" s="4" customFormat="1" x14ac:dyDescent="0.35">
      <c r="A26" s="1">
        <v>23</v>
      </c>
      <c r="C26" s="4">
        <f t="shared" ca="1" si="1"/>
        <v>-6.2015162726518629E-2</v>
      </c>
      <c r="D26" s="4">
        <f t="shared" ca="1" si="1"/>
        <v>0</v>
      </c>
      <c r="E26" s="4">
        <f t="shared" ca="1" si="1"/>
        <v>0</v>
      </c>
      <c r="F26" s="4">
        <f t="shared" ca="1" si="1"/>
        <v>0</v>
      </c>
      <c r="G26" s="4">
        <f t="shared" ca="1" si="1"/>
        <v>-0.39193460779153361</v>
      </c>
      <c r="H26" s="4">
        <f t="shared" ca="1" si="1"/>
        <v>0</v>
      </c>
      <c r="I26" s="4">
        <f t="shared" ca="1" si="1"/>
        <v>0</v>
      </c>
      <c r="J26" s="4">
        <f t="shared" ca="1" si="1"/>
        <v>0</v>
      </c>
      <c r="K26" s="4">
        <f t="shared" ca="1" si="1"/>
        <v>-0.93206915813679969</v>
      </c>
      <c r="L26" s="4">
        <f t="shared" ca="1" si="1"/>
        <v>0</v>
      </c>
      <c r="M26" s="4">
        <f t="shared" ca="1" si="1"/>
        <v>0</v>
      </c>
      <c r="N26" s="4">
        <f t="shared" ca="1" si="1"/>
        <v>0</v>
      </c>
      <c r="O26" s="4">
        <f t="shared" ca="1" si="1"/>
        <v>0.63677399657576361</v>
      </c>
      <c r="P26" s="4">
        <f t="shared" ca="1" si="1"/>
        <v>0</v>
      </c>
      <c r="Q26" s="4">
        <f t="shared" ca="1" si="1"/>
        <v>0</v>
      </c>
      <c r="R26" s="4">
        <f t="shared" ca="1" si="1"/>
        <v>0</v>
      </c>
      <c r="S26" s="4">
        <f t="shared" ca="1" si="2"/>
        <v>0.10790968766905493</v>
      </c>
      <c r="T26" s="4">
        <f t="shared" ca="1" si="2"/>
        <v>0</v>
      </c>
      <c r="U26" s="4">
        <f t="shared" ca="1" si="2"/>
        <v>0</v>
      </c>
      <c r="V26" s="4">
        <f t="shared" ca="1" si="2"/>
        <v>0</v>
      </c>
    </row>
    <row r="27" spans="1:22" s="4" customFormat="1" x14ac:dyDescent="0.35">
      <c r="A27" s="1">
        <v>24</v>
      </c>
      <c r="C27" s="4">
        <f t="shared" ca="1" si="1"/>
        <v>7.9722091281514376E-2</v>
      </c>
      <c r="D27" s="4">
        <f t="shared" ca="1" si="1"/>
        <v>0</v>
      </c>
      <c r="E27" s="4">
        <f t="shared" ca="1" si="1"/>
        <v>0</v>
      </c>
      <c r="F27" s="4">
        <f t="shared" ca="1" si="1"/>
        <v>0</v>
      </c>
      <c r="G27" s="4">
        <f t="shared" ca="1" si="1"/>
        <v>-8.3743284335276863E-2</v>
      </c>
      <c r="H27" s="4">
        <f t="shared" ca="1" si="1"/>
        <v>0</v>
      </c>
      <c r="I27" s="4">
        <f t="shared" ca="1" si="1"/>
        <v>0</v>
      </c>
      <c r="J27" s="4">
        <f t="shared" ca="1" si="1"/>
        <v>0</v>
      </c>
      <c r="K27" s="4">
        <f t="shared" ca="1" si="1"/>
        <v>-0.28627619636572982</v>
      </c>
      <c r="L27" s="4">
        <f t="shared" ca="1" si="1"/>
        <v>0</v>
      </c>
      <c r="M27" s="4">
        <f t="shared" ca="1" si="1"/>
        <v>0</v>
      </c>
      <c r="N27" s="4">
        <f t="shared" ca="1" si="1"/>
        <v>0</v>
      </c>
      <c r="O27" s="4">
        <f t="shared" ca="1" si="1"/>
        <v>9.2722860683318656E-2</v>
      </c>
      <c r="P27" s="4">
        <f t="shared" ca="1" si="1"/>
        <v>0</v>
      </c>
      <c r="Q27" s="4">
        <f t="shared" ca="1" si="1"/>
        <v>0</v>
      </c>
      <c r="R27" s="4">
        <f t="shared" ca="1" si="1"/>
        <v>0</v>
      </c>
      <c r="S27" s="4">
        <f t="shared" ca="1" si="2"/>
        <v>-0.17129679062233732</v>
      </c>
      <c r="T27" s="4">
        <f t="shared" ca="1" si="2"/>
        <v>0</v>
      </c>
      <c r="U27" s="4">
        <f t="shared" ca="1" si="2"/>
        <v>0</v>
      </c>
      <c r="V27" s="4">
        <f t="shared" ca="1" si="2"/>
        <v>0</v>
      </c>
    </row>
    <row r="28" spans="1:22" s="4" customFormat="1" x14ac:dyDescent="0.35">
      <c r="A28" s="1">
        <v>25</v>
      </c>
      <c r="C28" s="4">
        <f t="shared" ca="1" si="1"/>
        <v>-1.1504730475399452</v>
      </c>
      <c r="D28" s="4">
        <f t="shared" ca="1" si="1"/>
        <v>0</v>
      </c>
      <c r="E28" s="4">
        <f t="shared" ca="1" si="1"/>
        <v>0</v>
      </c>
      <c r="F28" s="4">
        <f t="shared" ca="1" si="1"/>
        <v>0</v>
      </c>
      <c r="G28" s="4">
        <f t="shared" ca="1" si="1"/>
        <v>-7.8450196988741977E-2</v>
      </c>
      <c r="H28" s="4">
        <f t="shared" ca="1" si="1"/>
        <v>0</v>
      </c>
      <c r="I28" s="4">
        <f t="shared" ca="1" si="1"/>
        <v>0</v>
      </c>
      <c r="J28" s="4">
        <f t="shared" ca="1" si="1"/>
        <v>0</v>
      </c>
      <c r="K28" s="4">
        <f t="shared" ca="1" si="1"/>
        <v>-0.31786084132068315</v>
      </c>
      <c r="L28" s="4">
        <f t="shared" ca="1" si="1"/>
        <v>0</v>
      </c>
      <c r="M28" s="4">
        <f t="shared" ca="1" si="1"/>
        <v>0</v>
      </c>
      <c r="N28" s="4">
        <f t="shared" ca="1" si="1"/>
        <v>0</v>
      </c>
      <c r="O28" s="4">
        <f t="shared" ca="1" si="1"/>
        <v>0.21167399428927838</v>
      </c>
      <c r="P28" s="4">
        <f t="shared" ca="1" si="1"/>
        <v>0</v>
      </c>
      <c r="Q28" s="4">
        <f t="shared" ca="1" si="1"/>
        <v>0</v>
      </c>
      <c r="R28" s="4">
        <f t="shared" ca="1" si="1"/>
        <v>0</v>
      </c>
      <c r="S28" s="4">
        <f t="shared" ca="1" si="2"/>
        <v>0.44398200699954299</v>
      </c>
      <c r="T28" s="4">
        <f t="shared" ca="1" si="2"/>
        <v>0</v>
      </c>
      <c r="U28" s="4">
        <f t="shared" ca="1" si="2"/>
        <v>0</v>
      </c>
      <c r="V28" s="4">
        <f t="shared" ca="1" si="2"/>
        <v>0</v>
      </c>
    </row>
    <row r="29" spans="1:22" s="4" customFormat="1" x14ac:dyDescent="0.35">
      <c r="A29" s="1">
        <v>26</v>
      </c>
      <c r="C29" s="4">
        <f t="shared" ca="1" si="1"/>
        <v>-6.0810472577296409E-2</v>
      </c>
      <c r="D29" s="4">
        <f t="shared" ca="1" si="1"/>
        <v>0</v>
      </c>
      <c r="E29" s="4">
        <f t="shared" ca="1" si="1"/>
        <v>0</v>
      </c>
      <c r="F29" s="4">
        <f t="shared" ca="1" si="1"/>
        <v>0</v>
      </c>
      <c r="G29" s="4">
        <f t="shared" ca="1" si="1"/>
        <v>-9.0772029495574447E-2</v>
      </c>
      <c r="H29" s="4">
        <f t="shared" ca="1" si="1"/>
        <v>0</v>
      </c>
      <c r="I29" s="4">
        <f t="shared" ca="1" si="1"/>
        <v>0</v>
      </c>
      <c r="J29" s="4">
        <f t="shared" ca="1" si="1"/>
        <v>0</v>
      </c>
      <c r="K29" s="4">
        <f t="shared" ca="1" si="1"/>
        <v>-0.64155063385629618</v>
      </c>
      <c r="L29" s="4">
        <f t="shared" ca="1" si="1"/>
        <v>0</v>
      </c>
      <c r="M29" s="4">
        <f t="shared" ca="1" si="1"/>
        <v>0</v>
      </c>
      <c r="N29" s="4">
        <f t="shared" ca="1" si="1"/>
        <v>0</v>
      </c>
      <c r="O29" s="4">
        <f t="shared" ca="1" si="1"/>
        <v>3.5793017513208687E-2</v>
      </c>
      <c r="P29" s="4">
        <f t="shared" ca="1" si="1"/>
        <v>0</v>
      </c>
      <c r="Q29" s="4">
        <f t="shared" ca="1" si="1"/>
        <v>0</v>
      </c>
      <c r="R29" s="4">
        <f t="shared" ca="1" si="1"/>
        <v>0</v>
      </c>
      <c r="S29" s="4">
        <f t="shared" ca="1" si="2"/>
        <v>0.38238140781199642</v>
      </c>
      <c r="T29" s="4">
        <f t="shared" ca="1" si="2"/>
        <v>0</v>
      </c>
      <c r="U29" s="4">
        <f t="shared" ca="1" si="2"/>
        <v>0</v>
      </c>
      <c r="V29" s="4">
        <f t="shared" ca="1" si="2"/>
        <v>0</v>
      </c>
    </row>
    <row r="30" spans="1:22" s="4" customFormat="1" x14ac:dyDescent="0.35">
      <c r="A30" s="1">
        <v>27</v>
      </c>
      <c r="C30" s="4">
        <f t="shared" ca="1" si="1"/>
        <v>-0.14081341545405274</v>
      </c>
      <c r="D30" s="4">
        <f t="shared" ca="1" si="1"/>
        <v>0</v>
      </c>
      <c r="E30" s="4">
        <f t="shared" ca="1" si="1"/>
        <v>0</v>
      </c>
      <c r="F30" s="4">
        <f t="shared" ca="1" si="1"/>
        <v>0</v>
      </c>
      <c r="G30" s="4">
        <f t="shared" ca="1" si="1"/>
        <v>-8.3698107833126492E-2</v>
      </c>
      <c r="H30" s="4">
        <f t="shared" ca="1" si="1"/>
        <v>0</v>
      </c>
      <c r="I30" s="4">
        <f t="shared" ca="1" si="1"/>
        <v>0</v>
      </c>
      <c r="J30" s="4">
        <f t="shared" ca="1" si="1"/>
        <v>0</v>
      </c>
      <c r="K30" s="4">
        <f t="shared" ca="1" si="1"/>
        <v>1.0173270016556097</v>
      </c>
      <c r="L30" s="4">
        <f t="shared" ca="1" si="1"/>
        <v>0</v>
      </c>
      <c r="M30" s="4">
        <f t="shared" ca="1" si="1"/>
        <v>0</v>
      </c>
      <c r="N30" s="4">
        <f t="shared" ca="1" si="1"/>
        <v>0</v>
      </c>
      <c r="O30" s="4">
        <f t="shared" ca="1" si="1"/>
        <v>0.12560041405497474</v>
      </c>
      <c r="P30" s="4">
        <f t="shared" ca="1" si="1"/>
        <v>0</v>
      </c>
      <c r="Q30" s="4">
        <f t="shared" ca="1" si="1"/>
        <v>0</v>
      </c>
      <c r="R30" s="4">
        <f t="shared" ca="1" si="1"/>
        <v>0</v>
      </c>
      <c r="S30" s="4">
        <f t="shared" ca="1" si="2"/>
        <v>1.9261464007645036E-4</v>
      </c>
      <c r="T30" s="4">
        <f t="shared" ca="1" si="2"/>
        <v>0</v>
      </c>
      <c r="U30" s="4">
        <f t="shared" ca="1" si="2"/>
        <v>0</v>
      </c>
      <c r="V30" s="4">
        <f t="shared" ca="1" si="2"/>
        <v>0</v>
      </c>
    </row>
    <row r="31" spans="1:22" s="4" customFormat="1" x14ac:dyDescent="0.35">
      <c r="A31" s="1">
        <v>28</v>
      </c>
      <c r="C31" s="4">
        <f t="shared" ca="1" si="1"/>
        <v>0.34770126496536186</v>
      </c>
      <c r="D31" s="4">
        <f t="shared" ca="1" si="1"/>
        <v>0</v>
      </c>
      <c r="E31" s="4">
        <f t="shared" ca="1" si="1"/>
        <v>0</v>
      </c>
      <c r="F31" s="4">
        <f t="shared" ca="1" si="1"/>
        <v>0</v>
      </c>
      <c r="G31" s="4">
        <f t="shared" ca="1" si="1"/>
        <v>-1.0538043080222514</v>
      </c>
      <c r="H31" s="4">
        <f t="shared" ca="1" si="1"/>
        <v>0</v>
      </c>
      <c r="I31" s="4">
        <f t="shared" ca="1" si="1"/>
        <v>0</v>
      </c>
      <c r="J31" s="4">
        <f t="shared" ca="1" si="1"/>
        <v>0</v>
      </c>
      <c r="K31" s="4">
        <f t="shared" ca="1" si="1"/>
        <v>1.0820854409575806</v>
      </c>
      <c r="L31" s="4">
        <f t="shared" ca="1" si="1"/>
        <v>0</v>
      </c>
      <c r="M31" s="4">
        <f t="shared" ca="1" si="1"/>
        <v>0</v>
      </c>
      <c r="N31" s="4">
        <f t="shared" ca="1" si="1"/>
        <v>0</v>
      </c>
      <c r="O31" s="4">
        <f t="shared" ca="1" si="1"/>
        <v>4.5452237110858475E-2</v>
      </c>
      <c r="P31" s="4">
        <f t="shared" ca="1" si="1"/>
        <v>0</v>
      </c>
      <c r="Q31" s="4">
        <f t="shared" ca="1" si="1"/>
        <v>0</v>
      </c>
      <c r="R31" s="4">
        <f t="shared" ca="1" si="1"/>
        <v>0</v>
      </c>
      <c r="S31" s="4">
        <f t="shared" ca="1" si="2"/>
        <v>-0.60879039321697226</v>
      </c>
      <c r="T31" s="4">
        <f t="shared" ca="1" si="2"/>
        <v>0</v>
      </c>
      <c r="U31" s="4">
        <f t="shared" ca="1" si="2"/>
        <v>0</v>
      </c>
      <c r="V31" s="4">
        <f t="shared" ca="1" si="2"/>
        <v>0</v>
      </c>
    </row>
    <row r="32" spans="1:22" s="4" customFormat="1" x14ac:dyDescent="0.35">
      <c r="A32" s="1">
        <v>29</v>
      </c>
      <c r="C32" s="4">
        <f t="shared" ca="1" si="1"/>
        <v>-0.67156901698697447</v>
      </c>
      <c r="D32" s="4">
        <f t="shared" ca="1" si="1"/>
        <v>0</v>
      </c>
      <c r="E32" s="4">
        <f t="shared" ca="1" si="1"/>
        <v>0</v>
      </c>
      <c r="F32" s="4">
        <f t="shared" ca="1" si="1"/>
        <v>0</v>
      </c>
      <c r="G32" s="4">
        <f t="shared" ca="1" si="1"/>
        <v>0.16891598896992177</v>
      </c>
      <c r="H32" s="4">
        <f t="shared" ca="1" si="1"/>
        <v>0</v>
      </c>
      <c r="I32" s="4">
        <f t="shared" ca="1" si="1"/>
        <v>0</v>
      </c>
      <c r="J32" s="4">
        <f t="shared" ca="1" si="1"/>
        <v>0</v>
      </c>
      <c r="K32" s="4">
        <f t="shared" ca="1" si="1"/>
        <v>0.68612199273069252</v>
      </c>
      <c r="L32" s="4">
        <f t="shared" ca="1" si="1"/>
        <v>0</v>
      </c>
      <c r="M32" s="4">
        <f t="shared" ca="1" si="1"/>
        <v>0</v>
      </c>
      <c r="N32" s="4">
        <f t="shared" ca="1" si="1"/>
        <v>0</v>
      </c>
      <c r="O32" s="4">
        <f t="shared" ca="1" si="1"/>
        <v>-0.70170031973737668</v>
      </c>
      <c r="P32" s="4">
        <f t="shared" ca="1" si="1"/>
        <v>0</v>
      </c>
      <c r="Q32" s="4">
        <f t="shared" ca="1" si="1"/>
        <v>0</v>
      </c>
      <c r="R32" s="4">
        <f t="shared" ca="1" si="1"/>
        <v>0</v>
      </c>
      <c r="S32" s="4">
        <f t="shared" ca="1" si="2"/>
        <v>1.5352435168154455</v>
      </c>
      <c r="T32" s="4">
        <f t="shared" ca="1" si="2"/>
        <v>0</v>
      </c>
      <c r="U32" s="4">
        <f t="shared" ca="1" si="2"/>
        <v>0</v>
      </c>
      <c r="V32" s="4">
        <f t="shared" ca="1" si="2"/>
        <v>0</v>
      </c>
    </row>
    <row r="33" spans="1:22" s="4" customFormat="1" x14ac:dyDescent="0.35">
      <c r="A33" s="1">
        <v>30</v>
      </c>
      <c r="C33" s="4">
        <f t="shared" ca="1" si="1"/>
        <v>1.1102141910584908</v>
      </c>
      <c r="D33" s="4">
        <f t="shared" ca="1" si="1"/>
        <v>0</v>
      </c>
      <c r="E33" s="4">
        <f t="shared" ref="E33:V33" ca="1" si="3">IF(E$2&gt;0,_xlfn.NORM.INV(RAND(), 0, 0.5),0)</f>
        <v>0</v>
      </c>
      <c r="F33" s="4">
        <f t="shared" ca="1" si="3"/>
        <v>0</v>
      </c>
      <c r="G33" s="4">
        <f t="shared" ca="1" si="3"/>
        <v>7.0299087412161957E-3</v>
      </c>
      <c r="H33" s="4">
        <f t="shared" ca="1" si="3"/>
        <v>0</v>
      </c>
      <c r="I33" s="4">
        <f t="shared" ca="1" si="3"/>
        <v>0</v>
      </c>
      <c r="J33" s="4">
        <f t="shared" ca="1" si="3"/>
        <v>0</v>
      </c>
      <c r="K33" s="4">
        <f t="shared" ca="1" si="3"/>
        <v>-0.12285660239701691</v>
      </c>
      <c r="L33" s="4">
        <f t="shared" ca="1" si="3"/>
        <v>0</v>
      </c>
      <c r="M33" s="4">
        <f t="shared" ca="1" si="3"/>
        <v>0</v>
      </c>
      <c r="N33" s="4">
        <f t="shared" ca="1" si="3"/>
        <v>0</v>
      </c>
      <c r="O33" s="4">
        <f t="shared" ca="1" si="3"/>
        <v>0.29617866322952835</v>
      </c>
      <c r="P33" s="4">
        <f t="shared" ca="1" si="3"/>
        <v>0</v>
      </c>
      <c r="Q33" s="4">
        <f t="shared" ca="1" si="3"/>
        <v>0</v>
      </c>
      <c r="R33" s="4">
        <f t="shared" ca="1" si="3"/>
        <v>0</v>
      </c>
      <c r="S33" s="4">
        <f t="shared" ca="1" si="3"/>
        <v>0.49801155642430067</v>
      </c>
      <c r="T33" s="4">
        <f t="shared" ca="1" si="3"/>
        <v>0</v>
      </c>
      <c r="U33" s="4">
        <f t="shared" ca="1" si="3"/>
        <v>0</v>
      </c>
      <c r="V33" s="4">
        <f t="shared" ca="1" si="3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28F8A-0E84-44DF-8B6E-74A0848F238F}">
  <sheetPr codeName="Sheet3"/>
  <dimension ref="A1:V36"/>
  <sheetViews>
    <sheetView zoomScale="70" zoomScaleNormal="70" workbookViewId="0">
      <selection activeCell="A2" sqref="A2:XFD2"/>
    </sheetView>
  </sheetViews>
  <sheetFormatPr defaultRowHeight="14.5" x14ac:dyDescent="0.35"/>
  <cols>
    <col min="1" max="1" width="13.7265625" style="1" bestFit="1" customWidth="1"/>
    <col min="2" max="16384" width="8.7265625" style="3"/>
  </cols>
  <sheetData>
    <row r="1" spans="1:22" s="1" customFormat="1" x14ac:dyDescent="0.35">
      <c r="A1" s="1" t="s">
        <v>0</v>
      </c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>
        <v>9</v>
      </c>
      <c r="L1" s="1">
        <v>10</v>
      </c>
      <c r="M1" s="1">
        <v>11</v>
      </c>
      <c r="N1" s="1">
        <v>12</v>
      </c>
      <c r="O1" s="1">
        <v>13</v>
      </c>
      <c r="P1" s="1">
        <v>14</v>
      </c>
      <c r="Q1" s="1">
        <v>15</v>
      </c>
      <c r="R1" s="1">
        <v>16</v>
      </c>
      <c r="S1" s="1">
        <v>17</v>
      </c>
      <c r="T1" s="1">
        <v>18</v>
      </c>
      <c r="U1" s="1">
        <v>19</v>
      </c>
      <c r="V1" s="1">
        <v>20</v>
      </c>
    </row>
    <row r="2" spans="1:22" s="9" customFormat="1" x14ac:dyDescent="0.35">
      <c r="A2" s="9" t="s">
        <v>11</v>
      </c>
      <c r="B2" s="9">
        <f>Tecnología!B9</f>
        <v>0</v>
      </c>
      <c r="C2" s="9">
        <f>Tecnología!C9</f>
        <v>1</v>
      </c>
      <c r="D2" s="9">
        <f>Tecnología!D9</f>
        <v>0</v>
      </c>
      <c r="E2" s="9">
        <f>Tecnología!E9</f>
        <v>0</v>
      </c>
      <c r="F2" s="9">
        <f>Tecnología!F9</f>
        <v>0</v>
      </c>
      <c r="G2" s="9">
        <f>Tecnología!G9</f>
        <v>5</v>
      </c>
      <c r="H2" s="9">
        <f>Tecnología!H9</f>
        <v>0</v>
      </c>
      <c r="I2" s="9">
        <f>Tecnología!I9</f>
        <v>0</v>
      </c>
      <c r="J2" s="9">
        <f>Tecnología!J9</f>
        <v>0</v>
      </c>
      <c r="K2" s="9">
        <f>Tecnología!K9</f>
        <v>9</v>
      </c>
      <c r="L2" s="9">
        <f>Tecnología!L9</f>
        <v>0</v>
      </c>
      <c r="M2" s="9">
        <f>Tecnología!M9</f>
        <v>0</v>
      </c>
      <c r="N2" s="9">
        <f>Tecnología!N9</f>
        <v>0</v>
      </c>
      <c r="O2" s="9">
        <f>Tecnología!O9</f>
        <v>13</v>
      </c>
      <c r="P2" s="9">
        <f>Tecnología!P9</f>
        <v>0</v>
      </c>
      <c r="Q2" s="9">
        <f>Tecnología!Q9</f>
        <v>0</v>
      </c>
      <c r="R2" s="9">
        <f>Tecnología!R9</f>
        <v>0</v>
      </c>
      <c r="S2" s="9">
        <f>Tecnología!S9</f>
        <v>17</v>
      </c>
      <c r="T2" s="9">
        <f>Tecnología!T9</f>
        <v>0</v>
      </c>
      <c r="U2" s="9">
        <f>Tecnología!U9</f>
        <v>0</v>
      </c>
      <c r="V2" s="9">
        <f>Tecnología!V9</f>
        <v>0</v>
      </c>
    </row>
    <row r="3" spans="1:22" s="9" customFormat="1" x14ac:dyDescent="0.35">
      <c r="A3" s="6"/>
    </row>
    <row r="4" spans="1:22" x14ac:dyDescent="0.35">
      <c r="A4" s="1">
        <v>1</v>
      </c>
      <c r="C4" s="3">
        <f ca="1">IF(C$2&gt;0,IF(RAND()&lt;1-Tecnología!$D$4,0,1),0)</f>
        <v>1</v>
      </c>
      <c r="D4" s="3">
        <f ca="1">IF(D$2&gt;0,IF(RAND()&lt;1-Tecnología!$D$4,0,1),0)</f>
        <v>0</v>
      </c>
      <c r="E4" s="3">
        <f ca="1">IF(E$2&gt;0,IF(RAND()&lt;1-Tecnología!$D$4,0,1),0)</f>
        <v>0</v>
      </c>
      <c r="F4" s="3">
        <f ca="1">IF(F$2&gt;0,IF(RAND()&lt;1-Tecnología!$D$4,0,1),0)</f>
        <v>0</v>
      </c>
      <c r="G4" s="3">
        <f ca="1">IF(G$2&gt;0,IF(RAND()&lt;1-Tecnología!$D$4,0,1),0)</f>
        <v>1</v>
      </c>
      <c r="H4" s="3">
        <f ca="1">IF(H$2&gt;0,IF(RAND()&lt;1-Tecnología!$D$4,0,1),0)</f>
        <v>0</v>
      </c>
      <c r="I4" s="3">
        <f ca="1">IF(I$2&gt;0,IF(RAND()&lt;1-Tecnología!$D$4,0,1),0)</f>
        <v>0</v>
      </c>
      <c r="J4" s="3">
        <f ca="1">IF(J$2&gt;0,IF(RAND()&lt;1-Tecnología!$D$4,0,1),0)</f>
        <v>0</v>
      </c>
      <c r="K4" s="3">
        <f ca="1">IF(K$2&gt;0,IF(RAND()&lt;1-Tecnología!$D$4,0,1),0)</f>
        <v>1</v>
      </c>
      <c r="L4" s="3">
        <f ca="1">IF(L$2&gt;0,IF(RAND()&lt;1-Tecnología!$D$4,0,1),0)</f>
        <v>0</v>
      </c>
      <c r="M4" s="3">
        <f ca="1">IF(M$2&gt;0,IF(RAND()&lt;1-Tecnología!$D$4,0,1),0)</f>
        <v>0</v>
      </c>
      <c r="N4" s="3">
        <f ca="1">IF(N$2&gt;0,IF(RAND()&lt;1-Tecnología!$D$4,0,1),0)</f>
        <v>0</v>
      </c>
      <c r="O4" s="3">
        <f ca="1">IF(O$2&gt;0,IF(RAND()&lt;1-Tecnología!$D$4,0,1),0)</f>
        <v>1</v>
      </c>
      <c r="P4" s="3">
        <f ca="1">IF(P$2&gt;0,IF(RAND()&lt;1-Tecnología!$D$4,0,1),0)</f>
        <v>0</v>
      </c>
      <c r="Q4" s="3">
        <f ca="1">IF(Q$2&gt;0,IF(RAND()&lt;1-Tecnología!$D$4,0,1),0)</f>
        <v>0</v>
      </c>
      <c r="R4" s="3">
        <f ca="1">IF(R$2&gt;0,IF(RAND()&lt;1-Tecnología!$D$4,0,1),0)</f>
        <v>0</v>
      </c>
      <c r="S4" s="3">
        <f ca="1">IF(S$2&gt;0,IF(RAND()&lt;1-Tecnología!$D$4,0,1),0)</f>
        <v>1</v>
      </c>
      <c r="T4" s="3">
        <f ca="1">IF(T$2&gt;0,IF(RAND()&lt;1-Tecnología!$D$4,0,1),0)</f>
        <v>0</v>
      </c>
      <c r="U4" s="3">
        <f ca="1">IF(U$2&gt;0,IF(RAND()&lt;1-Tecnología!$D$4,0,1),0)</f>
        <v>0</v>
      </c>
      <c r="V4" s="3">
        <f ca="1">IF(V$2&gt;0,IF(RAND()&lt;1-Tecnología!$D$4,0,1),0)</f>
        <v>0</v>
      </c>
    </row>
    <row r="5" spans="1:22" x14ac:dyDescent="0.35">
      <c r="A5" s="1">
        <v>2</v>
      </c>
      <c r="C5" s="3">
        <f ca="1">IF(C$2&gt;0,IF(RAND()&lt;1-Tecnología!$D$4,0,1),0)</f>
        <v>1</v>
      </c>
      <c r="D5" s="3">
        <f ca="1">IF(D$2&gt;0,IF(RAND()&lt;1-Tecnología!$D$4,0,1),0)</f>
        <v>0</v>
      </c>
      <c r="E5" s="3">
        <f ca="1">IF(E$2&gt;0,IF(RAND()&lt;1-Tecnología!$D$4,0,1),0)</f>
        <v>0</v>
      </c>
      <c r="F5" s="3">
        <f ca="1">IF(F$2&gt;0,IF(RAND()&lt;1-Tecnología!$D$4,0,1),0)</f>
        <v>0</v>
      </c>
      <c r="G5" s="3">
        <f ca="1">IF(G$2&gt;0,IF(RAND()&lt;1-Tecnología!$D$4,0,1),0)</f>
        <v>1</v>
      </c>
      <c r="H5" s="3">
        <f ca="1">IF(H$2&gt;0,IF(RAND()&lt;1-Tecnología!$D$4,0,1),0)</f>
        <v>0</v>
      </c>
      <c r="I5" s="3">
        <f ca="1">IF(I$2&gt;0,IF(RAND()&lt;1-Tecnología!$D$4,0,1),0)</f>
        <v>0</v>
      </c>
      <c r="J5" s="3">
        <f ca="1">IF(J$2&gt;0,IF(RAND()&lt;1-Tecnología!$D$4,0,1),0)</f>
        <v>0</v>
      </c>
      <c r="K5" s="3">
        <f ca="1">IF(K$2&gt;0,IF(RAND()&lt;1-Tecnología!$D$4,0,1),0)</f>
        <v>0</v>
      </c>
      <c r="L5" s="3">
        <f ca="1">IF(L$2&gt;0,IF(RAND()&lt;1-Tecnología!$D$4,0,1),0)</f>
        <v>0</v>
      </c>
      <c r="M5" s="3">
        <f ca="1">IF(M$2&gt;0,IF(RAND()&lt;1-Tecnología!$D$4,0,1),0)</f>
        <v>0</v>
      </c>
      <c r="N5" s="3">
        <f ca="1">IF(N$2&gt;0,IF(RAND()&lt;1-Tecnología!$D$4,0,1),0)</f>
        <v>0</v>
      </c>
      <c r="O5" s="3">
        <f ca="1">IF(O$2&gt;0,IF(RAND()&lt;1-Tecnología!$D$4,0,1),0)</f>
        <v>1</v>
      </c>
      <c r="P5" s="3">
        <f ca="1">IF(P$2&gt;0,IF(RAND()&lt;1-Tecnología!$D$4,0,1),0)</f>
        <v>0</v>
      </c>
      <c r="Q5" s="3">
        <f ca="1">IF(Q$2&gt;0,IF(RAND()&lt;1-Tecnología!$D$4,0,1),0)</f>
        <v>0</v>
      </c>
      <c r="R5" s="3">
        <f ca="1">IF(R$2&gt;0,IF(RAND()&lt;1-Tecnología!$D$4,0,1),0)</f>
        <v>0</v>
      </c>
      <c r="S5" s="3">
        <f ca="1">IF(S$2&gt;0,IF(RAND()&lt;1-Tecnología!$D$4,0,1),0)</f>
        <v>0</v>
      </c>
      <c r="T5" s="3">
        <f ca="1">IF(T$2&gt;0,IF(RAND()&lt;1-Tecnología!$D$4,0,1),0)</f>
        <v>0</v>
      </c>
      <c r="U5" s="3">
        <f ca="1">IF(U$2&gt;0,IF(RAND()&lt;1-Tecnología!$D$4,0,1),0)</f>
        <v>0</v>
      </c>
      <c r="V5" s="3">
        <f ca="1">IF(V$2&gt;0,IF(RAND()&lt;1-Tecnología!$D$4,0,1),0)</f>
        <v>0</v>
      </c>
    </row>
    <row r="6" spans="1:22" x14ac:dyDescent="0.35">
      <c r="A6" s="1">
        <v>3</v>
      </c>
      <c r="C6" s="3">
        <f ca="1">IF(C$2&gt;0,IF(RAND()&lt;1-Tecnología!$D$4,0,1),0)</f>
        <v>1</v>
      </c>
      <c r="D6" s="3">
        <f ca="1">IF(D$2&gt;0,IF(RAND()&lt;1-Tecnología!$D$4,0,1),0)</f>
        <v>0</v>
      </c>
      <c r="E6" s="3">
        <f ca="1">IF(E$2&gt;0,IF(RAND()&lt;1-Tecnología!$D$4,0,1),0)</f>
        <v>0</v>
      </c>
      <c r="F6" s="3">
        <f ca="1">IF(F$2&gt;0,IF(RAND()&lt;1-Tecnología!$D$4,0,1),0)</f>
        <v>0</v>
      </c>
      <c r="G6" s="3">
        <f ca="1">IF(G$2&gt;0,IF(RAND()&lt;1-Tecnología!$D$4,0,1),0)</f>
        <v>1</v>
      </c>
      <c r="H6" s="3">
        <f ca="1">IF(H$2&gt;0,IF(RAND()&lt;1-Tecnología!$D$4,0,1),0)</f>
        <v>0</v>
      </c>
      <c r="I6" s="3">
        <f ca="1">IF(I$2&gt;0,IF(RAND()&lt;1-Tecnología!$D$4,0,1),0)</f>
        <v>0</v>
      </c>
      <c r="J6" s="3">
        <f ca="1">IF(J$2&gt;0,IF(RAND()&lt;1-Tecnología!$D$4,0,1),0)</f>
        <v>0</v>
      </c>
      <c r="K6" s="3">
        <f ca="1">IF(K$2&gt;0,IF(RAND()&lt;1-Tecnología!$D$4,0,1),0)</f>
        <v>0</v>
      </c>
      <c r="L6" s="3">
        <f ca="1">IF(L$2&gt;0,IF(RAND()&lt;1-Tecnología!$D$4,0,1),0)</f>
        <v>0</v>
      </c>
      <c r="M6" s="3">
        <f ca="1">IF(M$2&gt;0,IF(RAND()&lt;1-Tecnología!$D$4,0,1),0)</f>
        <v>0</v>
      </c>
      <c r="N6" s="3">
        <f ca="1">IF(N$2&gt;0,IF(RAND()&lt;1-Tecnología!$D$4,0,1),0)</f>
        <v>0</v>
      </c>
      <c r="O6" s="3">
        <f ca="1">IF(O$2&gt;0,IF(RAND()&lt;1-Tecnología!$D$4,0,1),0)</f>
        <v>0</v>
      </c>
      <c r="P6" s="3">
        <f ca="1">IF(P$2&gt;0,IF(RAND()&lt;1-Tecnología!$D$4,0,1),0)</f>
        <v>0</v>
      </c>
      <c r="Q6" s="3">
        <f ca="1">IF(Q$2&gt;0,IF(RAND()&lt;1-Tecnología!$D$4,0,1),0)</f>
        <v>0</v>
      </c>
      <c r="R6" s="3">
        <f ca="1">IF(R$2&gt;0,IF(RAND()&lt;1-Tecnología!$D$4,0,1),0)</f>
        <v>0</v>
      </c>
      <c r="S6" s="3">
        <f ca="1">IF(S$2&gt;0,IF(RAND()&lt;1-Tecnología!$D$4,0,1),0)</f>
        <v>1</v>
      </c>
      <c r="T6" s="3">
        <f ca="1">IF(T$2&gt;0,IF(RAND()&lt;1-Tecnología!$D$4,0,1),0)</f>
        <v>0</v>
      </c>
      <c r="U6" s="3">
        <f ca="1">IF(U$2&gt;0,IF(RAND()&lt;1-Tecnología!$D$4,0,1),0)</f>
        <v>0</v>
      </c>
      <c r="V6" s="3">
        <f ca="1">IF(V$2&gt;0,IF(RAND()&lt;1-Tecnología!$D$4,0,1),0)</f>
        <v>0</v>
      </c>
    </row>
    <row r="7" spans="1:22" x14ac:dyDescent="0.35">
      <c r="A7" s="1">
        <v>4</v>
      </c>
      <c r="C7" s="3">
        <f ca="1">IF(C$2&gt;0,IF(RAND()&lt;1-Tecnología!$D$4,0,1),0)</f>
        <v>1</v>
      </c>
      <c r="D7" s="3">
        <f ca="1">IF(D$2&gt;0,IF(RAND()&lt;1-Tecnología!$D$4,0,1),0)</f>
        <v>0</v>
      </c>
      <c r="E7" s="3">
        <f ca="1">IF(E$2&gt;0,IF(RAND()&lt;1-Tecnología!$D$4,0,1),0)</f>
        <v>0</v>
      </c>
      <c r="F7" s="3">
        <f ca="1">IF(F$2&gt;0,IF(RAND()&lt;1-Tecnología!$D$4,0,1),0)</f>
        <v>0</v>
      </c>
      <c r="G7" s="3">
        <f ca="1">IF(G$2&gt;0,IF(RAND()&lt;1-Tecnología!$D$4,0,1),0)</f>
        <v>0</v>
      </c>
      <c r="H7" s="3">
        <f ca="1">IF(H$2&gt;0,IF(RAND()&lt;1-Tecnología!$D$4,0,1),0)</f>
        <v>0</v>
      </c>
      <c r="I7" s="3">
        <f ca="1">IF(I$2&gt;0,IF(RAND()&lt;1-Tecnología!$D$4,0,1),0)</f>
        <v>0</v>
      </c>
      <c r="J7" s="3">
        <f ca="1">IF(J$2&gt;0,IF(RAND()&lt;1-Tecnología!$D$4,0,1),0)</f>
        <v>0</v>
      </c>
      <c r="K7" s="3">
        <f ca="1">IF(K$2&gt;0,IF(RAND()&lt;1-Tecnología!$D$4,0,1),0)</f>
        <v>0</v>
      </c>
      <c r="L7" s="3">
        <f ca="1">IF(L$2&gt;0,IF(RAND()&lt;1-Tecnología!$D$4,0,1),0)</f>
        <v>0</v>
      </c>
      <c r="M7" s="3">
        <f ca="1">IF(M$2&gt;0,IF(RAND()&lt;1-Tecnología!$D$4,0,1),0)</f>
        <v>0</v>
      </c>
      <c r="N7" s="3">
        <f ca="1">IF(N$2&gt;0,IF(RAND()&lt;1-Tecnología!$D$4,0,1),0)</f>
        <v>0</v>
      </c>
      <c r="O7" s="3">
        <f ca="1">IF(O$2&gt;0,IF(RAND()&lt;1-Tecnología!$D$4,0,1),0)</f>
        <v>1</v>
      </c>
      <c r="P7" s="3">
        <f ca="1">IF(P$2&gt;0,IF(RAND()&lt;1-Tecnología!$D$4,0,1),0)</f>
        <v>0</v>
      </c>
      <c r="Q7" s="3">
        <f ca="1">IF(Q$2&gt;0,IF(RAND()&lt;1-Tecnología!$D$4,0,1),0)</f>
        <v>0</v>
      </c>
      <c r="R7" s="3">
        <f ca="1">IF(R$2&gt;0,IF(RAND()&lt;1-Tecnología!$D$4,0,1),0)</f>
        <v>0</v>
      </c>
      <c r="S7" s="3">
        <f ca="1">IF(S$2&gt;0,IF(RAND()&lt;1-Tecnología!$D$4,0,1),0)</f>
        <v>0</v>
      </c>
      <c r="T7" s="3">
        <f ca="1">IF(T$2&gt;0,IF(RAND()&lt;1-Tecnología!$D$4,0,1),0)</f>
        <v>0</v>
      </c>
      <c r="U7" s="3">
        <f ca="1">IF(U$2&gt;0,IF(RAND()&lt;1-Tecnología!$D$4,0,1),0)</f>
        <v>0</v>
      </c>
      <c r="V7" s="3">
        <f ca="1">IF(V$2&gt;0,IF(RAND()&lt;1-Tecnología!$D$4,0,1),0)</f>
        <v>0</v>
      </c>
    </row>
    <row r="8" spans="1:22" x14ac:dyDescent="0.35">
      <c r="A8" s="1">
        <v>5</v>
      </c>
      <c r="C8" s="3">
        <f ca="1">IF(C$2&gt;0,IF(RAND()&lt;1-Tecnología!$D$4,0,1),0)</f>
        <v>0</v>
      </c>
      <c r="D8" s="3">
        <f ca="1">IF(D$2&gt;0,IF(RAND()&lt;1-Tecnología!$D$4,0,1),0)</f>
        <v>0</v>
      </c>
      <c r="E8" s="3">
        <f ca="1">IF(E$2&gt;0,IF(RAND()&lt;1-Tecnología!$D$4,0,1),0)</f>
        <v>0</v>
      </c>
      <c r="F8" s="3">
        <f ca="1">IF(F$2&gt;0,IF(RAND()&lt;1-Tecnología!$D$4,0,1),0)</f>
        <v>0</v>
      </c>
      <c r="G8" s="3">
        <f ca="1">IF(G$2&gt;0,IF(RAND()&lt;1-Tecnología!$D$4,0,1),0)</f>
        <v>1</v>
      </c>
      <c r="H8" s="3">
        <f ca="1">IF(H$2&gt;0,IF(RAND()&lt;1-Tecnología!$D$4,0,1),0)</f>
        <v>0</v>
      </c>
      <c r="I8" s="3">
        <f ca="1">IF(I$2&gt;0,IF(RAND()&lt;1-Tecnología!$D$4,0,1),0)</f>
        <v>0</v>
      </c>
      <c r="J8" s="3">
        <f ca="1">IF(J$2&gt;0,IF(RAND()&lt;1-Tecnología!$D$4,0,1),0)</f>
        <v>0</v>
      </c>
      <c r="K8" s="3">
        <f ca="1">IF(K$2&gt;0,IF(RAND()&lt;1-Tecnología!$D$4,0,1),0)</f>
        <v>0</v>
      </c>
      <c r="L8" s="3">
        <f ca="1">IF(L$2&gt;0,IF(RAND()&lt;1-Tecnología!$D$4,0,1),0)</f>
        <v>0</v>
      </c>
      <c r="M8" s="3">
        <f ca="1">IF(M$2&gt;0,IF(RAND()&lt;1-Tecnología!$D$4,0,1),0)</f>
        <v>0</v>
      </c>
      <c r="N8" s="3">
        <f ca="1">IF(N$2&gt;0,IF(RAND()&lt;1-Tecnología!$D$4,0,1),0)</f>
        <v>0</v>
      </c>
      <c r="O8" s="3">
        <f ca="1">IF(O$2&gt;0,IF(RAND()&lt;1-Tecnología!$D$4,0,1),0)</f>
        <v>1</v>
      </c>
      <c r="P8" s="3">
        <f ca="1">IF(P$2&gt;0,IF(RAND()&lt;1-Tecnología!$D$4,0,1),0)</f>
        <v>0</v>
      </c>
      <c r="Q8" s="3">
        <f ca="1">IF(Q$2&gt;0,IF(RAND()&lt;1-Tecnología!$D$4,0,1),0)</f>
        <v>0</v>
      </c>
      <c r="R8" s="3">
        <f ca="1">IF(R$2&gt;0,IF(RAND()&lt;1-Tecnología!$D$4,0,1),0)</f>
        <v>0</v>
      </c>
      <c r="S8" s="3">
        <f ca="1">IF(S$2&gt;0,IF(RAND()&lt;1-Tecnología!$D$4,0,1),0)</f>
        <v>1</v>
      </c>
      <c r="T8" s="3">
        <f ca="1">IF(T$2&gt;0,IF(RAND()&lt;1-Tecnología!$D$4,0,1),0)</f>
        <v>0</v>
      </c>
      <c r="U8" s="3">
        <f ca="1">IF(U$2&gt;0,IF(RAND()&lt;1-Tecnología!$D$4,0,1),0)</f>
        <v>0</v>
      </c>
      <c r="V8" s="3">
        <f ca="1">IF(V$2&gt;0,IF(RAND()&lt;1-Tecnología!$D$4,0,1),0)</f>
        <v>0</v>
      </c>
    </row>
    <row r="9" spans="1:22" x14ac:dyDescent="0.35">
      <c r="A9" s="1">
        <v>6</v>
      </c>
      <c r="C9" s="3">
        <f ca="1">IF(C$2&gt;0,IF(RAND()&lt;1-Tecnología!$D$4,0,1),0)</f>
        <v>1</v>
      </c>
      <c r="D9" s="3">
        <f ca="1">IF(D$2&gt;0,IF(RAND()&lt;1-Tecnología!$D$4,0,1),0)</f>
        <v>0</v>
      </c>
      <c r="E9" s="3">
        <f ca="1">IF(E$2&gt;0,IF(RAND()&lt;1-Tecnología!$D$4,0,1),0)</f>
        <v>0</v>
      </c>
      <c r="F9" s="3">
        <f ca="1">IF(F$2&gt;0,IF(RAND()&lt;1-Tecnología!$D$4,0,1),0)</f>
        <v>0</v>
      </c>
      <c r="G9" s="3">
        <f ca="1">IF(G$2&gt;0,IF(RAND()&lt;1-Tecnología!$D$4,0,1),0)</f>
        <v>1</v>
      </c>
      <c r="H9" s="3">
        <f ca="1">IF(H$2&gt;0,IF(RAND()&lt;1-Tecnología!$D$4,0,1),0)</f>
        <v>0</v>
      </c>
      <c r="I9" s="3">
        <f ca="1">IF(I$2&gt;0,IF(RAND()&lt;1-Tecnología!$D$4,0,1),0)</f>
        <v>0</v>
      </c>
      <c r="J9" s="3">
        <f ca="1">IF(J$2&gt;0,IF(RAND()&lt;1-Tecnología!$D$4,0,1),0)</f>
        <v>0</v>
      </c>
      <c r="K9" s="3">
        <f ca="1">IF(K$2&gt;0,IF(RAND()&lt;1-Tecnología!$D$4,0,1),0)</f>
        <v>1</v>
      </c>
      <c r="L9" s="3">
        <f ca="1">IF(L$2&gt;0,IF(RAND()&lt;1-Tecnología!$D$4,0,1),0)</f>
        <v>0</v>
      </c>
      <c r="M9" s="3">
        <f ca="1">IF(M$2&gt;0,IF(RAND()&lt;1-Tecnología!$D$4,0,1),0)</f>
        <v>0</v>
      </c>
      <c r="N9" s="3">
        <f ca="1">IF(N$2&gt;0,IF(RAND()&lt;1-Tecnología!$D$4,0,1),0)</f>
        <v>0</v>
      </c>
      <c r="O9" s="3">
        <f ca="1">IF(O$2&gt;0,IF(RAND()&lt;1-Tecnología!$D$4,0,1),0)</f>
        <v>1</v>
      </c>
      <c r="P9" s="3">
        <f ca="1">IF(P$2&gt;0,IF(RAND()&lt;1-Tecnología!$D$4,0,1),0)</f>
        <v>0</v>
      </c>
      <c r="Q9" s="3">
        <f ca="1">IF(Q$2&gt;0,IF(RAND()&lt;1-Tecnología!$D$4,0,1),0)</f>
        <v>0</v>
      </c>
      <c r="R9" s="3">
        <f ca="1">IF(R$2&gt;0,IF(RAND()&lt;1-Tecnología!$D$4,0,1),0)</f>
        <v>0</v>
      </c>
      <c r="S9" s="3">
        <f ca="1">IF(S$2&gt;0,IF(RAND()&lt;1-Tecnología!$D$4,0,1),0)</f>
        <v>0</v>
      </c>
      <c r="T9" s="3">
        <f ca="1">IF(T$2&gt;0,IF(RAND()&lt;1-Tecnología!$D$4,0,1),0)</f>
        <v>0</v>
      </c>
      <c r="U9" s="3">
        <f ca="1">IF(U$2&gt;0,IF(RAND()&lt;1-Tecnología!$D$4,0,1),0)</f>
        <v>0</v>
      </c>
      <c r="V9" s="3">
        <f ca="1">IF(V$2&gt;0,IF(RAND()&lt;1-Tecnología!$D$4,0,1),0)</f>
        <v>0</v>
      </c>
    </row>
    <row r="10" spans="1:22" x14ac:dyDescent="0.35">
      <c r="A10" s="1">
        <v>7</v>
      </c>
      <c r="C10" s="3">
        <f ca="1">IF(C$2&gt;0,IF(RAND()&lt;1-Tecnología!$D$4,0,1),0)</f>
        <v>1</v>
      </c>
      <c r="D10" s="3">
        <f ca="1">IF(D$2&gt;0,IF(RAND()&lt;1-Tecnología!$D$4,0,1),0)</f>
        <v>0</v>
      </c>
      <c r="E10" s="3">
        <f ca="1">IF(E$2&gt;0,IF(RAND()&lt;1-Tecnología!$D$4,0,1),0)</f>
        <v>0</v>
      </c>
      <c r="F10" s="3">
        <f ca="1">IF(F$2&gt;0,IF(RAND()&lt;1-Tecnología!$D$4,0,1),0)</f>
        <v>0</v>
      </c>
      <c r="G10" s="3">
        <f ca="1">IF(G$2&gt;0,IF(RAND()&lt;1-Tecnología!$D$4,0,1),0)</f>
        <v>0</v>
      </c>
      <c r="H10" s="3">
        <f ca="1">IF(H$2&gt;0,IF(RAND()&lt;1-Tecnología!$D$4,0,1),0)</f>
        <v>0</v>
      </c>
      <c r="I10" s="3">
        <f ca="1">IF(I$2&gt;0,IF(RAND()&lt;1-Tecnología!$D$4,0,1),0)</f>
        <v>0</v>
      </c>
      <c r="J10" s="3">
        <f ca="1">IF(J$2&gt;0,IF(RAND()&lt;1-Tecnología!$D$4,0,1),0)</f>
        <v>0</v>
      </c>
      <c r="K10" s="3">
        <f ca="1">IF(K$2&gt;0,IF(RAND()&lt;1-Tecnología!$D$4,0,1),0)</f>
        <v>1</v>
      </c>
      <c r="L10" s="3">
        <f ca="1">IF(L$2&gt;0,IF(RAND()&lt;1-Tecnología!$D$4,0,1),0)</f>
        <v>0</v>
      </c>
      <c r="M10" s="3">
        <f ca="1">IF(M$2&gt;0,IF(RAND()&lt;1-Tecnología!$D$4,0,1),0)</f>
        <v>0</v>
      </c>
      <c r="N10" s="3">
        <f ca="1">IF(N$2&gt;0,IF(RAND()&lt;1-Tecnología!$D$4,0,1),0)</f>
        <v>0</v>
      </c>
      <c r="O10" s="3">
        <f ca="1">IF(O$2&gt;0,IF(RAND()&lt;1-Tecnología!$D$4,0,1),0)</f>
        <v>0</v>
      </c>
      <c r="P10" s="3">
        <f ca="1">IF(P$2&gt;0,IF(RAND()&lt;1-Tecnología!$D$4,0,1),0)</f>
        <v>0</v>
      </c>
      <c r="Q10" s="3">
        <f ca="1">IF(Q$2&gt;0,IF(RAND()&lt;1-Tecnología!$D$4,0,1),0)</f>
        <v>0</v>
      </c>
      <c r="R10" s="3">
        <f ca="1">IF(R$2&gt;0,IF(RAND()&lt;1-Tecnología!$D$4,0,1),0)</f>
        <v>0</v>
      </c>
      <c r="S10" s="3">
        <f ca="1">IF(S$2&gt;0,IF(RAND()&lt;1-Tecnología!$D$4,0,1),0)</f>
        <v>1</v>
      </c>
      <c r="T10" s="3">
        <f ca="1">IF(T$2&gt;0,IF(RAND()&lt;1-Tecnología!$D$4,0,1),0)</f>
        <v>0</v>
      </c>
      <c r="U10" s="3">
        <f ca="1">IF(U$2&gt;0,IF(RAND()&lt;1-Tecnología!$D$4,0,1),0)</f>
        <v>0</v>
      </c>
      <c r="V10" s="3">
        <f ca="1">IF(V$2&gt;0,IF(RAND()&lt;1-Tecnología!$D$4,0,1),0)</f>
        <v>0</v>
      </c>
    </row>
    <row r="11" spans="1:22" x14ac:dyDescent="0.35">
      <c r="A11" s="1">
        <v>8</v>
      </c>
      <c r="C11" s="3">
        <f ca="1">IF(C$2&gt;0,IF(RAND()&lt;1-Tecnología!$D$4,0,1),0)</f>
        <v>0</v>
      </c>
      <c r="D11" s="3">
        <f ca="1">IF(D$2&gt;0,IF(RAND()&lt;1-Tecnología!$D$4,0,1),0)</f>
        <v>0</v>
      </c>
      <c r="E11" s="3">
        <f ca="1">IF(E$2&gt;0,IF(RAND()&lt;1-Tecnología!$D$4,0,1),0)</f>
        <v>0</v>
      </c>
      <c r="F11" s="3">
        <f ca="1">IF(F$2&gt;0,IF(RAND()&lt;1-Tecnología!$D$4,0,1),0)</f>
        <v>0</v>
      </c>
      <c r="G11" s="3">
        <f ca="1">IF(G$2&gt;0,IF(RAND()&lt;1-Tecnología!$D$4,0,1),0)</f>
        <v>1</v>
      </c>
      <c r="H11" s="3">
        <f ca="1">IF(H$2&gt;0,IF(RAND()&lt;1-Tecnología!$D$4,0,1),0)</f>
        <v>0</v>
      </c>
      <c r="I11" s="3">
        <f ca="1">IF(I$2&gt;0,IF(RAND()&lt;1-Tecnología!$D$4,0,1),0)</f>
        <v>0</v>
      </c>
      <c r="J11" s="3">
        <f ca="1">IF(J$2&gt;0,IF(RAND()&lt;1-Tecnología!$D$4,0,1),0)</f>
        <v>0</v>
      </c>
      <c r="K11" s="3">
        <f ca="1">IF(K$2&gt;0,IF(RAND()&lt;1-Tecnología!$D$4,0,1),0)</f>
        <v>0</v>
      </c>
      <c r="L11" s="3">
        <f ca="1">IF(L$2&gt;0,IF(RAND()&lt;1-Tecnología!$D$4,0,1),0)</f>
        <v>0</v>
      </c>
      <c r="M11" s="3">
        <f ca="1">IF(M$2&gt;0,IF(RAND()&lt;1-Tecnología!$D$4,0,1),0)</f>
        <v>0</v>
      </c>
      <c r="N11" s="3">
        <f ca="1">IF(N$2&gt;0,IF(RAND()&lt;1-Tecnología!$D$4,0,1),0)</f>
        <v>0</v>
      </c>
      <c r="O11" s="3">
        <f ca="1">IF(O$2&gt;0,IF(RAND()&lt;1-Tecnología!$D$4,0,1),0)</f>
        <v>1</v>
      </c>
      <c r="P11" s="3">
        <f ca="1">IF(P$2&gt;0,IF(RAND()&lt;1-Tecnología!$D$4,0,1),0)</f>
        <v>0</v>
      </c>
      <c r="Q11" s="3">
        <f ca="1">IF(Q$2&gt;0,IF(RAND()&lt;1-Tecnología!$D$4,0,1),0)</f>
        <v>0</v>
      </c>
      <c r="R11" s="3">
        <f ca="1">IF(R$2&gt;0,IF(RAND()&lt;1-Tecnología!$D$4,0,1),0)</f>
        <v>0</v>
      </c>
      <c r="S11" s="3">
        <f ca="1">IF(S$2&gt;0,IF(RAND()&lt;1-Tecnología!$D$4,0,1),0)</f>
        <v>1</v>
      </c>
      <c r="T11" s="3">
        <f ca="1">IF(T$2&gt;0,IF(RAND()&lt;1-Tecnología!$D$4,0,1),0)</f>
        <v>0</v>
      </c>
      <c r="U11" s="3">
        <f ca="1">IF(U$2&gt;0,IF(RAND()&lt;1-Tecnología!$D$4,0,1),0)</f>
        <v>0</v>
      </c>
      <c r="V11" s="3">
        <f ca="1">IF(V$2&gt;0,IF(RAND()&lt;1-Tecnología!$D$4,0,1),0)</f>
        <v>0</v>
      </c>
    </row>
    <row r="12" spans="1:22" x14ac:dyDescent="0.35">
      <c r="A12" s="1">
        <v>9</v>
      </c>
      <c r="C12" s="3">
        <f ca="1">IF(C$2&gt;0,IF(RAND()&lt;1-Tecnología!$D$4,0,1),0)</f>
        <v>1</v>
      </c>
      <c r="D12" s="3">
        <f ca="1">IF(D$2&gt;0,IF(RAND()&lt;1-Tecnología!$D$4,0,1),0)</f>
        <v>0</v>
      </c>
      <c r="E12" s="3">
        <f ca="1">IF(E$2&gt;0,IF(RAND()&lt;1-Tecnología!$D$4,0,1),0)</f>
        <v>0</v>
      </c>
      <c r="F12" s="3">
        <f ca="1">IF(F$2&gt;0,IF(RAND()&lt;1-Tecnología!$D$4,0,1),0)</f>
        <v>0</v>
      </c>
      <c r="G12" s="3">
        <f ca="1">IF(G$2&gt;0,IF(RAND()&lt;1-Tecnología!$D$4,0,1),0)</f>
        <v>1</v>
      </c>
      <c r="H12" s="3">
        <f ca="1">IF(H$2&gt;0,IF(RAND()&lt;1-Tecnología!$D$4,0,1),0)</f>
        <v>0</v>
      </c>
      <c r="I12" s="3">
        <f ca="1">IF(I$2&gt;0,IF(RAND()&lt;1-Tecnología!$D$4,0,1),0)</f>
        <v>0</v>
      </c>
      <c r="J12" s="3">
        <f ca="1">IF(J$2&gt;0,IF(RAND()&lt;1-Tecnología!$D$4,0,1),0)</f>
        <v>0</v>
      </c>
      <c r="K12" s="3">
        <f ca="1">IF(K$2&gt;0,IF(RAND()&lt;1-Tecnología!$D$4,0,1),0)</f>
        <v>1</v>
      </c>
      <c r="L12" s="3">
        <f ca="1">IF(L$2&gt;0,IF(RAND()&lt;1-Tecnología!$D$4,0,1),0)</f>
        <v>0</v>
      </c>
      <c r="M12" s="3">
        <f ca="1">IF(M$2&gt;0,IF(RAND()&lt;1-Tecnología!$D$4,0,1),0)</f>
        <v>0</v>
      </c>
      <c r="N12" s="3">
        <f ca="1">IF(N$2&gt;0,IF(RAND()&lt;1-Tecnología!$D$4,0,1),0)</f>
        <v>0</v>
      </c>
      <c r="O12" s="3">
        <f ca="1">IF(O$2&gt;0,IF(RAND()&lt;1-Tecnología!$D$4,0,1),0)</f>
        <v>1</v>
      </c>
      <c r="P12" s="3">
        <f ca="1">IF(P$2&gt;0,IF(RAND()&lt;1-Tecnología!$D$4,0,1),0)</f>
        <v>0</v>
      </c>
      <c r="Q12" s="3">
        <f ca="1">IF(Q$2&gt;0,IF(RAND()&lt;1-Tecnología!$D$4,0,1),0)</f>
        <v>0</v>
      </c>
      <c r="R12" s="3">
        <f ca="1">IF(R$2&gt;0,IF(RAND()&lt;1-Tecnología!$D$4,0,1),0)</f>
        <v>0</v>
      </c>
      <c r="S12" s="3">
        <f ca="1">IF(S$2&gt;0,IF(RAND()&lt;1-Tecnología!$D$4,0,1),0)</f>
        <v>1</v>
      </c>
      <c r="T12" s="3">
        <f ca="1">IF(T$2&gt;0,IF(RAND()&lt;1-Tecnología!$D$4,0,1),0)</f>
        <v>0</v>
      </c>
      <c r="U12" s="3">
        <f ca="1">IF(U$2&gt;0,IF(RAND()&lt;1-Tecnología!$D$4,0,1),0)</f>
        <v>0</v>
      </c>
      <c r="V12" s="3">
        <f ca="1">IF(V$2&gt;0,IF(RAND()&lt;1-Tecnología!$D$4,0,1),0)</f>
        <v>0</v>
      </c>
    </row>
    <row r="13" spans="1:22" x14ac:dyDescent="0.35">
      <c r="A13" s="1">
        <v>10</v>
      </c>
      <c r="C13" s="3">
        <f ca="1">IF(C$2&gt;0,IF(RAND()&lt;1-Tecnología!$D$4,0,1),0)</f>
        <v>1</v>
      </c>
      <c r="D13" s="3">
        <f ca="1">IF(D$2&gt;0,IF(RAND()&lt;1-Tecnología!$D$4,0,1),0)</f>
        <v>0</v>
      </c>
      <c r="E13" s="3">
        <f ca="1">IF(E$2&gt;0,IF(RAND()&lt;1-Tecnología!$D$4,0,1),0)</f>
        <v>0</v>
      </c>
      <c r="F13" s="3">
        <f ca="1">IF(F$2&gt;0,IF(RAND()&lt;1-Tecnología!$D$4,0,1),0)</f>
        <v>0</v>
      </c>
      <c r="G13" s="3">
        <f ca="1">IF(G$2&gt;0,IF(RAND()&lt;1-Tecnología!$D$4,0,1),0)</f>
        <v>1</v>
      </c>
      <c r="H13" s="3">
        <f ca="1">IF(H$2&gt;0,IF(RAND()&lt;1-Tecnología!$D$4,0,1),0)</f>
        <v>0</v>
      </c>
      <c r="I13" s="3">
        <f ca="1">IF(I$2&gt;0,IF(RAND()&lt;1-Tecnología!$D$4,0,1),0)</f>
        <v>0</v>
      </c>
      <c r="J13" s="3">
        <f ca="1">IF(J$2&gt;0,IF(RAND()&lt;1-Tecnología!$D$4,0,1),0)</f>
        <v>0</v>
      </c>
      <c r="K13" s="3">
        <f ca="1">IF(K$2&gt;0,IF(RAND()&lt;1-Tecnología!$D$4,0,1),0)</f>
        <v>1</v>
      </c>
      <c r="L13" s="3">
        <f ca="1">IF(L$2&gt;0,IF(RAND()&lt;1-Tecnología!$D$4,0,1),0)</f>
        <v>0</v>
      </c>
      <c r="M13" s="3">
        <f ca="1">IF(M$2&gt;0,IF(RAND()&lt;1-Tecnología!$D$4,0,1),0)</f>
        <v>0</v>
      </c>
      <c r="N13" s="3">
        <f ca="1">IF(N$2&gt;0,IF(RAND()&lt;1-Tecnología!$D$4,0,1),0)</f>
        <v>0</v>
      </c>
      <c r="O13" s="3">
        <f ca="1">IF(O$2&gt;0,IF(RAND()&lt;1-Tecnología!$D$4,0,1),0)</f>
        <v>1</v>
      </c>
      <c r="P13" s="3">
        <f ca="1">IF(P$2&gt;0,IF(RAND()&lt;1-Tecnología!$D$4,0,1),0)</f>
        <v>0</v>
      </c>
      <c r="Q13" s="3">
        <f ca="1">IF(Q$2&gt;0,IF(RAND()&lt;1-Tecnología!$D$4,0,1),0)</f>
        <v>0</v>
      </c>
      <c r="R13" s="3">
        <f ca="1">IF(R$2&gt;0,IF(RAND()&lt;1-Tecnología!$D$4,0,1),0)</f>
        <v>0</v>
      </c>
      <c r="S13" s="3">
        <f ca="1">IF(S$2&gt;0,IF(RAND()&lt;1-Tecnología!$D$4,0,1),0)</f>
        <v>1</v>
      </c>
      <c r="T13" s="3">
        <f ca="1">IF(T$2&gt;0,IF(RAND()&lt;1-Tecnología!$D$4,0,1),0)</f>
        <v>0</v>
      </c>
      <c r="U13" s="3">
        <f ca="1">IF(U$2&gt;0,IF(RAND()&lt;1-Tecnología!$D$4,0,1),0)</f>
        <v>0</v>
      </c>
      <c r="V13" s="3">
        <f ca="1">IF(V$2&gt;0,IF(RAND()&lt;1-Tecnología!$D$4,0,1),0)</f>
        <v>0</v>
      </c>
    </row>
    <row r="14" spans="1:22" x14ac:dyDescent="0.35">
      <c r="A14" s="1">
        <v>11</v>
      </c>
      <c r="C14" s="3">
        <f ca="1">IF(C$2&gt;0,IF(RAND()&lt;1-Tecnología!$D$4,0,1),0)</f>
        <v>1</v>
      </c>
      <c r="D14" s="3">
        <f ca="1">IF(D$2&gt;0,IF(RAND()&lt;1-Tecnología!$D$4,0,1),0)</f>
        <v>0</v>
      </c>
      <c r="E14" s="3">
        <f ca="1">IF(E$2&gt;0,IF(RAND()&lt;1-Tecnología!$D$4,0,1),0)</f>
        <v>0</v>
      </c>
      <c r="F14" s="3">
        <f ca="1">IF(F$2&gt;0,IF(RAND()&lt;1-Tecnología!$D$4,0,1),0)</f>
        <v>0</v>
      </c>
      <c r="G14" s="3">
        <f ca="1">IF(G$2&gt;0,IF(RAND()&lt;1-Tecnología!$D$4,0,1),0)</f>
        <v>1</v>
      </c>
      <c r="H14" s="3">
        <f ca="1">IF(H$2&gt;0,IF(RAND()&lt;1-Tecnología!$D$4,0,1),0)</f>
        <v>0</v>
      </c>
      <c r="I14" s="3">
        <f ca="1">IF(I$2&gt;0,IF(RAND()&lt;1-Tecnología!$D$4,0,1),0)</f>
        <v>0</v>
      </c>
      <c r="J14" s="3">
        <f ca="1">IF(J$2&gt;0,IF(RAND()&lt;1-Tecnología!$D$4,0,1),0)</f>
        <v>0</v>
      </c>
      <c r="K14" s="3">
        <f ca="1">IF(K$2&gt;0,IF(RAND()&lt;1-Tecnología!$D$4,0,1),0)</f>
        <v>1</v>
      </c>
      <c r="L14" s="3">
        <f ca="1">IF(L$2&gt;0,IF(RAND()&lt;1-Tecnología!$D$4,0,1),0)</f>
        <v>0</v>
      </c>
      <c r="M14" s="3">
        <f ca="1">IF(M$2&gt;0,IF(RAND()&lt;1-Tecnología!$D$4,0,1),0)</f>
        <v>0</v>
      </c>
      <c r="N14" s="3">
        <f ca="1">IF(N$2&gt;0,IF(RAND()&lt;1-Tecnología!$D$4,0,1),0)</f>
        <v>0</v>
      </c>
      <c r="O14" s="3">
        <f ca="1">IF(O$2&gt;0,IF(RAND()&lt;1-Tecnología!$D$4,0,1),0)</f>
        <v>1</v>
      </c>
      <c r="P14" s="3">
        <f ca="1">IF(P$2&gt;0,IF(RAND()&lt;1-Tecnología!$D$4,0,1),0)</f>
        <v>0</v>
      </c>
      <c r="Q14" s="3">
        <f ca="1">IF(Q$2&gt;0,IF(RAND()&lt;1-Tecnología!$D$4,0,1),0)</f>
        <v>0</v>
      </c>
      <c r="R14" s="3">
        <f ca="1">IF(R$2&gt;0,IF(RAND()&lt;1-Tecnología!$D$4,0,1),0)</f>
        <v>0</v>
      </c>
      <c r="S14" s="3">
        <f ca="1">IF(S$2&gt;0,IF(RAND()&lt;1-Tecnología!$D$4,0,1),0)</f>
        <v>1</v>
      </c>
      <c r="T14" s="3">
        <f ca="1">IF(T$2&gt;0,IF(RAND()&lt;1-Tecnología!$D$4,0,1),0)</f>
        <v>0</v>
      </c>
      <c r="U14" s="3">
        <f ca="1">IF(U$2&gt;0,IF(RAND()&lt;1-Tecnología!$D$4,0,1),0)</f>
        <v>0</v>
      </c>
      <c r="V14" s="3">
        <f ca="1">IF(V$2&gt;0,IF(RAND()&lt;1-Tecnología!$D$4,0,1),0)</f>
        <v>0</v>
      </c>
    </row>
    <row r="15" spans="1:22" x14ac:dyDescent="0.35">
      <c r="A15" s="1">
        <v>12</v>
      </c>
      <c r="C15" s="3">
        <f ca="1">IF(C$2&gt;0,IF(RAND()&lt;1-Tecnología!$D$4,0,1),0)</f>
        <v>1</v>
      </c>
      <c r="D15" s="3">
        <f ca="1">IF(D$2&gt;0,IF(RAND()&lt;1-Tecnología!$D$4,0,1),0)</f>
        <v>0</v>
      </c>
      <c r="E15" s="3">
        <f ca="1">IF(E$2&gt;0,IF(RAND()&lt;1-Tecnología!$D$4,0,1),0)</f>
        <v>0</v>
      </c>
      <c r="F15" s="3">
        <f ca="1">IF(F$2&gt;0,IF(RAND()&lt;1-Tecnología!$D$4,0,1),0)</f>
        <v>0</v>
      </c>
      <c r="G15" s="3">
        <f ca="1">IF(G$2&gt;0,IF(RAND()&lt;1-Tecnología!$D$4,0,1),0)</f>
        <v>1</v>
      </c>
      <c r="H15" s="3">
        <f ca="1">IF(H$2&gt;0,IF(RAND()&lt;1-Tecnología!$D$4,0,1),0)</f>
        <v>0</v>
      </c>
      <c r="I15" s="3">
        <f ca="1">IF(I$2&gt;0,IF(RAND()&lt;1-Tecnología!$D$4,0,1),0)</f>
        <v>0</v>
      </c>
      <c r="J15" s="3">
        <f ca="1">IF(J$2&gt;0,IF(RAND()&lt;1-Tecnología!$D$4,0,1),0)</f>
        <v>0</v>
      </c>
      <c r="K15" s="3">
        <f ca="1">IF(K$2&gt;0,IF(RAND()&lt;1-Tecnología!$D$4,0,1),0)</f>
        <v>1</v>
      </c>
      <c r="L15" s="3">
        <f ca="1">IF(L$2&gt;0,IF(RAND()&lt;1-Tecnología!$D$4,0,1),0)</f>
        <v>0</v>
      </c>
      <c r="M15" s="3">
        <f ca="1">IF(M$2&gt;0,IF(RAND()&lt;1-Tecnología!$D$4,0,1),0)</f>
        <v>0</v>
      </c>
      <c r="N15" s="3">
        <f ca="1">IF(N$2&gt;0,IF(RAND()&lt;1-Tecnología!$D$4,0,1),0)</f>
        <v>0</v>
      </c>
      <c r="O15" s="3">
        <f ca="1">IF(O$2&gt;0,IF(RAND()&lt;1-Tecnología!$D$4,0,1),0)</f>
        <v>0</v>
      </c>
      <c r="P15" s="3">
        <f ca="1">IF(P$2&gt;0,IF(RAND()&lt;1-Tecnología!$D$4,0,1),0)</f>
        <v>0</v>
      </c>
      <c r="Q15" s="3">
        <f ca="1">IF(Q$2&gt;0,IF(RAND()&lt;1-Tecnología!$D$4,0,1),0)</f>
        <v>0</v>
      </c>
      <c r="R15" s="3">
        <f ca="1">IF(R$2&gt;0,IF(RAND()&lt;1-Tecnología!$D$4,0,1),0)</f>
        <v>0</v>
      </c>
      <c r="S15" s="3">
        <f ca="1">IF(S$2&gt;0,IF(RAND()&lt;1-Tecnología!$D$4,0,1),0)</f>
        <v>1</v>
      </c>
      <c r="T15" s="3">
        <f ca="1">IF(T$2&gt;0,IF(RAND()&lt;1-Tecnología!$D$4,0,1),0)</f>
        <v>0</v>
      </c>
      <c r="U15" s="3">
        <f ca="1">IF(U$2&gt;0,IF(RAND()&lt;1-Tecnología!$D$4,0,1),0)</f>
        <v>0</v>
      </c>
      <c r="V15" s="3">
        <f ca="1">IF(V$2&gt;0,IF(RAND()&lt;1-Tecnología!$D$4,0,1),0)</f>
        <v>0</v>
      </c>
    </row>
    <row r="16" spans="1:22" x14ac:dyDescent="0.35">
      <c r="A16" s="1">
        <v>13</v>
      </c>
      <c r="C16" s="3">
        <f ca="1">IF(C$2&gt;0,IF(RAND()&lt;1-Tecnología!$D$4,0,1),0)</f>
        <v>1</v>
      </c>
      <c r="D16" s="3">
        <f ca="1">IF(D$2&gt;0,IF(RAND()&lt;1-Tecnología!$D$4,0,1),0)</f>
        <v>0</v>
      </c>
      <c r="E16" s="3">
        <f ca="1">IF(E$2&gt;0,IF(RAND()&lt;1-Tecnología!$D$4,0,1),0)</f>
        <v>0</v>
      </c>
      <c r="F16" s="3">
        <f ca="1">IF(F$2&gt;0,IF(RAND()&lt;1-Tecnología!$D$4,0,1),0)</f>
        <v>0</v>
      </c>
      <c r="G16" s="3">
        <f ca="1">IF(G$2&gt;0,IF(RAND()&lt;1-Tecnología!$D$4,0,1),0)</f>
        <v>1</v>
      </c>
      <c r="H16" s="3">
        <f ca="1">IF(H$2&gt;0,IF(RAND()&lt;1-Tecnología!$D$4,0,1),0)</f>
        <v>0</v>
      </c>
      <c r="I16" s="3">
        <f ca="1">IF(I$2&gt;0,IF(RAND()&lt;1-Tecnología!$D$4,0,1),0)</f>
        <v>0</v>
      </c>
      <c r="J16" s="3">
        <f ca="1">IF(J$2&gt;0,IF(RAND()&lt;1-Tecnología!$D$4,0,1),0)</f>
        <v>0</v>
      </c>
      <c r="K16" s="3">
        <f ca="1">IF(K$2&gt;0,IF(RAND()&lt;1-Tecnología!$D$4,0,1),0)</f>
        <v>1</v>
      </c>
      <c r="L16" s="3">
        <f ca="1">IF(L$2&gt;0,IF(RAND()&lt;1-Tecnología!$D$4,0,1),0)</f>
        <v>0</v>
      </c>
      <c r="M16" s="3">
        <f ca="1">IF(M$2&gt;0,IF(RAND()&lt;1-Tecnología!$D$4,0,1),0)</f>
        <v>0</v>
      </c>
      <c r="N16" s="3">
        <f ca="1">IF(N$2&gt;0,IF(RAND()&lt;1-Tecnología!$D$4,0,1),0)</f>
        <v>0</v>
      </c>
      <c r="O16" s="3">
        <f ca="1">IF(O$2&gt;0,IF(RAND()&lt;1-Tecnología!$D$4,0,1),0)</f>
        <v>1</v>
      </c>
      <c r="P16" s="3">
        <f ca="1">IF(P$2&gt;0,IF(RAND()&lt;1-Tecnología!$D$4,0,1),0)</f>
        <v>0</v>
      </c>
      <c r="Q16" s="3">
        <f ca="1">IF(Q$2&gt;0,IF(RAND()&lt;1-Tecnología!$D$4,0,1),0)</f>
        <v>0</v>
      </c>
      <c r="R16" s="3">
        <f ca="1">IF(R$2&gt;0,IF(RAND()&lt;1-Tecnología!$D$4,0,1),0)</f>
        <v>0</v>
      </c>
      <c r="S16" s="3">
        <f ca="1">IF(S$2&gt;0,IF(RAND()&lt;1-Tecnología!$D$4,0,1),0)</f>
        <v>1</v>
      </c>
      <c r="T16" s="3">
        <f ca="1">IF(T$2&gt;0,IF(RAND()&lt;1-Tecnología!$D$4,0,1),0)</f>
        <v>0</v>
      </c>
      <c r="U16" s="3">
        <f ca="1">IF(U$2&gt;0,IF(RAND()&lt;1-Tecnología!$D$4,0,1),0)</f>
        <v>0</v>
      </c>
      <c r="V16" s="3">
        <f ca="1">IF(V$2&gt;0,IF(RAND()&lt;1-Tecnología!$D$4,0,1),0)</f>
        <v>0</v>
      </c>
    </row>
    <row r="17" spans="1:22" x14ac:dyDescent="0.35">
      <c r="A17" s="1">
        <v>14</v>
      </c>
      <c r="C17" s="3">
        <f ca="1">IF(C$2&gt;0,IF(RAND()&lt;1-Tecnología!$D$4,0,1),0)</f>
        <v>0</v>
      </c>
      <c r="D17" s="3">
        <f ca="1">IF(D$2&gt;0,IF(RAND()&lt;1-Tecnología!$D$4,0,1),0)</f>
        <v>0</v>
      </c>
      <c r="E17" s="3">
        <f ca="1">IF(E$2&gt;0,IF(RAND()&lt;1-Tecnología!$D$4,0,1),0)</f>
        <v>0</v>
      </c>
      <c r="F17" s="3">
        <f ca="1">IF(F$2&gt;0,IF(RAND()&lt;1-Tecnología!$D$4,0,1),0)</f>
        <v>0</v>
      </c>
      <c r="G17" s="3">
        <f ca="1">IF(G$2&gt;0,IF(RAND()&lt;1-Tecnología!$D$4,0,1),0)</f>
        <v>0</v>
      </c>
      <c r="H17" s="3">
        <f ca="1">IF(H$2&gt;0,IF(RAND()&lt;1-Tecnología!$D$4,0,1),0)</f>
        <v>0</v>
      </c>
      <c r="I17" s="3">
        <f ca="1">IF(I$2&gt;0,IF(RAND()&lt;1-Tecnología!$D$4,0,1),0)</f>
        <v>0</v>
      </c>
      <c r="J17" s="3">
        <f ca="1">IF(J$2&gt;0,IF(RAND()&lt;1-Tecnología!$D$4,0,1),0)</f>
        <v>0</v>
      </c>
      <c r="K17" s="3">
        <f ca="1">IF(K$2&gt;0,IF(RAND()&lt;1-Tecnología!$D$4,0,1),0)</f>
        <v>1</v>
      </c>
      <c r="L17" s="3">
        <f ca="1">IF(L$2&gt;0,IF(RAND()&lt;1-Tecnología!$D$4,0,1),0)</f>
        <v>0</v>
      </c>
      <c r="M17" s="3">
        <f ca="1">IF(M$2&gt;0,IF(RAND()&lt;1-Tecnología!$D$4,0,1),0)</f>
        <v>0</v>
      </c>
      <c r="N17" s="3">
        <f ca="1">IF(N$2&gt;0,IF(RAND()&lt;1-Tecnología!$D$4,0,1),0)</f>
        <v>0</v>
      </c>
      <c r="O17" s="3">
        <f ca="1">IF(O$2&gt;0,IF(RAND()&lt;1-Tecnología!$D$4,0,1),0)</f>
        <v>0</v>
      </c>
      <c r="P17" s="3">
        <f ca="1">IF(P$2&gt;0,IF(RAND()&lt;1-Tecnología!$D$4,0,1),0)</f>
        <v>0</v>
      </c>
      <c r="Q17" s="3">
        <f ca="1">IF(Q$2&gt;0,IF(RAND()&lt;1-Tecnología!$D$4,0,1),0)</f>
        <v>0</v>
      </c>
      <c r="R17" s="3">
        <f ca="1">IF(R$2&gt;0,IF(RAND()&lt;1-Tecnología!$D$4,0,1),0)</f>
        <v>0</v>
      </c>
      <c r="S17" s="3">
        <f ca="1">IF(S$2&gt;0,IF(RAND()&lt;1-Tecnología!$D$4,0,1),0)</f>
        <v>1</v>
      </c>
      <c r="T17" s="3">
        <f ca="1">IF(T$2&gt;0,IF(RAND()&lt;1-Tecnología!$D$4,0,1),0)</f>
        <v>0</v>
      </c>
      <c r="U17" s="3">
        <f ca="1">IF(U$2&gt;0,IF(RAND()&lt;1-Tecnología!$D$4,0,1),0)</f>
        <v>0</v>
      </c>
      <c r="V17" s="3">
        <f ca="1">IF(V$2&gt;0,IF(RAND()&lt;1-Tecnología!$D$4,0,1),0)</f>
        <v>0</v>
      </c>
    </row>
    <row r="18" spans="1:22" x14ac:dyDescent="0.35">
      <c r="A18" s="1">
        <v>15</v>
      </c>
      <c r="C18" s="3">
        <f ca="1">IF(C$2&gt;0,IF(RAND()&lt;1-Tecnología!$D$4,0,1),0)</f>
        <v>1</v>
      </c>
      <c r="D18" s="3">
        <f ca="1">IF(D$2&gt;0,IF(RAND()&lt;1-Tecnología!$D$4,0,1),0)</f>
        <v>0</v>
      </c>
      <c r="E18" s="3">
        <f ca="1">IF(E$2&gt;0,IF(RAND()&lt;1-Tecnología!$D$4,0,1),0)</f>
        <v>0</v>
      </c>
      <c r="F18" s="3">
        <f ca="1">IF(F$2&gt;0,IF(RAND()&lt;1-Tecnología!$D$4,0,1),0)</f>
        <v>0</v>
      </c>
      <c r="G18" s="3">
        <f ca="1">IF(G$2&gt;0,IF(RAND()&lt;1-Tecnología!$D$4,0,1),0)</f>
        <v>1</v>
      </c>
      <c r="H18" s="3">
        <f ca="1">IF(H$2&gt;0,IF(RAND()&lt;1-Tecnología!$D$4,0,1),0)</f>
        <v>0</v>
      </c>
      <c r="I18" s="3">
        <f ca="1">IF(I$2&gt;0,IF(RAND()&lt;1-Tecnología!$D$4,0,1),0)</f>
        <v>0</v>
      </c>
      <c r="J18" s="3">
        <f ca="1">IF(J$2&gt;0,IF(RAND()&lt;1-Tecnología!$D$4,0,1),0)</f>
        <v>0</v>
      </c>
      <c r="K18" s="3">
        <f ca="1">IF(K$2&gt;0,IF(RAND()&lt;1-Tecnología!$D$4,0,1),0)</f>
        <v>0</v>
      </c>
      <c r="L18" s="3">
        <f ca="1">IF(L$2&gt;0,IF(RAND()&lt;1-Tecnología!$D$4,0,1),0)</f>
        <v>0</v>
      </c>
      <c r="M18" s="3">
        <f ca="1">IF(M$2&gt;0,IF(RAND()&lt;1-Tecnología!$D$4,0,1),0)</f>
        <v>0</v>
      </c>
      <c r="N18" s="3">
        <f ca="1">IF(N$2&gt;0,IF(RAND()&lt;1-Tecnología!$D$4,0,1),0)</f>
        <v>0</v>
      </c>
      <c r="O18" s="3">
        <f ca="1">IF(O$2&gt;0,IF(RAND()&lt;1-Tecnología!$D$4,0,1),0)</f>
        <v>1</v>
      </c>
      <c r="P18" s="3">
        <f ca="1">IF(P$2&gt;0,IF(RAND()&lt;1-Tecnología!$D$4,0,1),0)</f>
        <v>0</v>
      </c>
      <c r="Q18" s="3">
        <f ca="1">IF(Q$2&gt;0,IF(RAND()&lt;1-Tecnología!$D$4,0,1),0)</f>
        <v>0</v>
      </c>
      <c r="R18" s="3">
        <f ca="1">IF(R$2&gt;0,IF(RAND()&lt;1-Tecnología!$D$4,0,1),0)</f>
        <v>0</v>
      </c>
      <c r="S18" s="3">
        <f ca="1">IF(S$2&gt;0,IF(RAND()&lt;1-Tecnología!$D$4,0,1),0)</f>
        <v>1</v>
      </c>
      <c r="T18" s="3">
        <f ca="1">IF(T$2&gt;0,IF(RAND()&lt;1-Tecnología!$D$4,0,1),0)</f>
        <v>0</v>
      </c>
      <c r="U18" s="3">
        <f ca="1">IF(U$2&gt;0,IF(RAND()&lt;1-Tecnología!$D$4,0,1),0)</f>
        <v>0</v>
      </c>
      <c r="V18" s="3">
        <f ca="1">IF(V$2&gt;0,IF(RAND()&lt;1-Tecnología!$D$4,0,1),0)</f>
        <v>0</v>
      </c>
    </row>
    <row r="19" spans="1:22" x14ac:dyDescent="0.35">
      <c r="A19" s="1">
        <v>16</v>
      </c>
      <c r="C19" s="3">
        <f ca="1">IF(C$2&gt;0,IF(RAND()&lt;1-Tecnología!$D$4,0,1),0)</f>
        <v>0</v>
      </c>
      <c r="D19" s="3">
        <f ca="1">IF(D$2&gt;0,IF(RAND()&lt;1-Tecnología!$D$4,0,1),0)</f>
        <v>0</v>
      </c>
      <c r="E19" s="3">
        <f ca="1">IF(E$2&gt;0,IF(RAND()&lt;1-Tecnología!$D$4,0,1),0)</f>
        <v>0</v>
      </c>
      <c r="F19" s="3">
        <f ca="1">IF(F$2&gt;0,IF(RAND()&lt;1-Tecnología!$D$4,0,1),0)</f>
        <v>0</v>
      </c>
      <c r="G19" s="3">
        <f ca="1">IF(G$2&gt;0,IF(RAND()&lt;1-Tecnología!$D$4,0,1),0)</f>
        <v>1</v>
      </c>
      <c r="H19" s="3">
        <f ca="1">IF(H$2&gt;0,IF(RAND()&lt;1-Tecnología!$D$4,0,1),0)</f>
        <v>0</v>
      </c>
      <c r="I19" s="3">
        <f ca="1">IF(I$2&gt;0,IF(RAND()&lt;1-Tecnología!$D$4,0,1),0)</f>
        <v>0</v>
      </c>
      <c r="J19" s="3">
        <f ca="1">IF(J$2&gt;0,IF(RAND()&lt;1-Tecnología!$D$4,0,1),0)</f>
        <v>0</v>
      </c>
      <c r="K19" s="3">
        <f ca="1">IF(K$2&gt;0,IF(RAND()&lt;1-Tecnología!$D$4,0,1),0)</f>
        <v>0</v>
      </c>
      <c r="L19" s="3">
        <f ca="1">IF(L$2&gt;0,IF(RAND()&lt;1-Tecnología!$D$4,0,1),0)</f>
        <v>0</v>
      </c>
      <c r="M19" s="3">
        <f ca="1">IF(M$2&gt;0,IF(RAND()&lt;1-Tecnología!$D$4,0,1),0)</f>
        <v>0</v>
      </c>
      <c r="N19" s="3">
        <f ca="1">IF(N$2&gt;0,IF(RAND()&lt;1-Tecnología!$D$4,0,1),0)</f>
        <v>0</v>
      </c>
      <c r="O19" s="3">
        <f ca="1">IF(O$2&gt;0,IF(RAND()&lt;1-Tecnología!$D$4,0,1),0)</f>
        <v>1</v>
      </c>
      <c r="P19" s="3">
        <f ca="1">IF(P$2&gt;0,IF(RAND()&lt;1-Tecnología!$D$4,0,1),0)</f>
        <v>0</v>
      </c>
      <c r="Q19" s="3">
        <f ca="1">IF(Q$2&gt;0,IF(RAND()&lt;1-Tecnología!$D$4,0,1),0)</f>
        <v>0</v>
      </c>
      <c r="R19" s="3">
        <f ca="1">IF(R$2&gt;0,IF(RAND()&lt;1-Tecnología!$D$4,0,1),0)</f>
        <v>0</v>
      </c>
      <c r="S19" s="3">
        <f ca="1">IF(S$2&gt;0,IF(RAND()&lt;1-Tecnología!$D$4,0,1),0)</f>
        <v>0</v>
      </c>
      <c r="T19" s="3">
        <f ca="1">IF(T$2&gt;0,IF(RAND()&lt;1-Tecnología!$D$4,0,1),0)</f>
        <v>0</v>
      </c>
      <c r="U19" s="3">
        <f ca="1">IF(U$2&gt;0,IF(RAND()&lt;1-Tecnología!$D$4,0,1),0)</f>
        <v>0</v>
      </c>
      <c r="V19" s="3">
        <f ca="1">IF(V$2&gt;0,IF(RAND()&lt;1-Tecnología!$D$4,0,1),0)</f>
        <v>0</v>
      </c>
    </row>
    <row r="20" spans="1:22" x14ac:dyDescent="0.35">
      <c r="A20" s="1">
        <v>17</v>
      </c>
      <c r="C20" s="3">
        <f ca="1">IF(C$2&gt;0,IF(RAND()&lt;1-Tecnología!$D$4,0,1),0)</f>
        <v>0</v>
      </c>
      <c r="D20" s="3">
        <f ca="1">IF(D$2&gt;0,IF(RAND()&lt;1-Tecnología!$D$4,0,1),0)</f>
        <v>0</v>
      </c>
      <c r="E20" s="3">
        <f ca="1">IF(E$2&gt;0,IF(RAND()&lt;1-Tecnología!$D$4,0,1),0)</f>
        <v>0</v>
      </c>
      <c r="F20" s="3">
        <f ca="1">IF(F$2&gt;0,IF(RAND()&lt;1-Tecnología!$D$4,0,1),0)</f>
        <v>0</v>
      </c>
      <c r="G20" s="3">
        <f ca="1">IF(G$2&gt;0,IF(RAND()&lt;1-Tecnología!$D$4,0,1),0)</f>
        <v>0</v>
      </c>
      <c r="H20" s="3">
        <f ca="1">IF(H$2&gt;0,IF(RAND()&lt;1-Tecnología!$D$4,0,1),0)</f>
        <v>0</v>
      </c>
      <c r="I20" s="3">
        <f ca="1">IF(I$2&gt;0,IF(RAND()&lt;1-Tecnología!$D$4,0,1),0)</f>
        <v>0</v>
      </c>
      <c r="J20" s="3">
        <f ca="1">IF(J$2&gt;0,IF(RAND()&lt;1-Tecnología!$D$4,0,1),0)</f>
        <v>0</v>
      </c>
      <c r="K20" s="3">
        <f ca="1">IF(K$2&gt;0,IF(RAND()&lt;1-Tecnología!$D$4,0,1),0)</f>
        <v>1</v>
      </c>
      <c r="L20" s="3">
        <f ca="1">IF(L$2&gt;0,IF(RAND()&lt;1-Tecnología!$D$4,0,1),0)</f>
        <v>0</v>
      </c>
      <c r="M20" s="3">
        <f ca="1">IF(M$2&gt;0,IF(RAND()&lt;1-Tecnología!$D$4,0,1),0)</f>
        <v>0</v>
      </c>
      <c r="N20" s="3">
        <f ca="1">IF(N$2&gt;0,IF(RAND()&lt;1-Tecnología!$D$4,0,1),0)</f>
        <v>0</v>
      </c>
      <c r="O20" s="3">
        <f ca="1">IF(O$2&gt;0,IF(RAND()&lt;1-Tecnología!$D$4,0,1),0)</f>
        <v>1</v>
      </c>
      <c r="P20" s="3">
        <f ca="1">IF(P$2&gt;0,IF(RAND()&lt;1-Tecnología!$D$4,0,1),0)</f>
        <v>0</v>
      </c>
      <c r="Q20" s="3">
        <f ca="1">IF(Q$2&gt;0,IF(RAND()&lt;1-Tecnología!$D$4,0,1),0)</f>
        <v>0</v>
      </c>
      <c r="R20" s="3">
        <f ca="1">IF(R$2&gt;0,IF(RAND()&lt;1-Tecnología!$D$4,0,1),0)</f>
        <v>0</v>
      </c>
      <c r="S20" s="3">
        <f ca="1">IF(S$2&gt;0,IF(RAND()&lt;1-Tecnología!$D$4,0,1),0)</f>
        <v>1</v>
      </c>
      <c r="T20" s="3">
        <f ca="1">IF(T$2&gt;0,IF(RAND()&lt;1-Tecnología!$D$4,0,1),0)</f>
        <v>0</v>
      </c>
      <c r="U20" s="3">
        <f ca="1">IF(U$2&gt;0,IF(RAND()&lt;1-Tecnología!$D$4,0,1),0)</f>
        <v>0</v>
      </c>
      <c r="V20" s="3">
        <f ca="1">IF(V$2&gt;0,IF(RAND()&lt;1-Tecnología!$D$4,0,1),0)</f>
        <v>0</v>
      </c>
    </row>
    <row r="21" spans="1:22" x14ac:dyDescent="0.35">
      <c r="A21" s="1">
        <v>18</v>
      </c>
      <c r="C21" s="3">
        <f ca="1">IF(C$2&gt;0,IF(RAND()&lt;1-Tecnología!$D$4,0,1),0)</f>
        <v>1</v>
      </c>
      <c r="D21" s="3">
        <f ca="1">IF(D$2&gt;0,IF(RAND()&lt;1-Tecnología!$D$4,0,1),0)</f>
        <v>0</v>
      </c>
      <c r="E21" s="3">
        <f ca="1">IF(E$2&gt;0,IF(RAND()&lt;1-Tecnología!$D$4,0,1),0)</f>
        <v>0</v>
      </c>
      <c r="F21" s="3">
        <f ca="1">IF(F$2&gt;0,IF(RAND()&lt;1-Tecnología!$D$4,0,1),0)</f>
        <v>0</v>
      </c>
      <c r="G21" s="3">
        <f ca="1">IF(G$2&gt;0,IF(RAND()&lt;1-Tecnología!$D$4,0,1),0)</f>
        <v>1</v>
      </c>
      <c r="H21" s="3">
        <f ca="1">IF(H$2&gt;0,IF(RAND()&lt;1-Tecnología!$D$4,0,1),0)</f>
        <v>0</v>
      </c>
      <c r="I21" s="3">
        <f ca="1">IF(I$2&gt;0,IF(RAND()&lt;1-Tecnología!$D$4,0,1),0)</f>
        <v>0</v>
      </c>
      <c r="J21" s="3">
        <f ca="1">IF(J$2&gt;0,IF(RAND()&lt;1-Tecnología!$D$4,0,1),0)</f>
        <v>0</v>
      </c>
      <c r="K21" s="3">
        <f ca="1">IF(K$2&gt;0,IF(RAND()&lt;1-Tecnología!$D$4,0,1),0)</f>
        <v>0</v>
      </c>
      <c r="L21" s="3">
        <f ca="1">IF(L$2&gt;0,IF(RAND()&lt;1-Tecnología!$D$4,0,1),0)</f>
        <v>0</v>
      </c>
      <c r="M21" s="3">
        <f ca="1">IF(M$2&gt;0,IF(RAND()&lt;1-Tecnología!$D$4,0,1),0)</f>
        <v>0</v>
      </c>
      <c r="N21" s="3">
        <f ca="1">IF(N$2&gt;0,IF(RAND()&lt;1-Tecnología!$D$4,0,1),0)</f>
        <v>0</v>
      </c>
      <c r="O21" s="3">
        <f ca="1">IF(O$2&gt;0,IF(RAND()&lt;1-Tecnología!$D$4,0,1),0)</f>
        <v>0</v>
      </c>
      <c r="P21" s="3">
        <f ca="1">IF(P$2&gt;0,IF(RAND()&lt;1-Tecnología!$D$4,0,1),0)</f>
        <v>0</v>
      </c>
      <c r="Q21" s="3">
        <f ca="1">IF(Q$2&gt;0,IF(RAND()&lt;1-Tecnología!$D$4,0,1),0)</f>
        <v>0</v>
      </c>
      <c r="R21" s="3">
        <f ca="1">IF(R$2&gt;0,IF(RAND()&lt;1-Tecnología!$D$4,0,1),0)</f>
        <v>0</v>
      </c>
      <c r="S21" s="3">
        <f ca="1">IF(S$2&gt;0,IF(RAND()&lt;1-Tecnología!$D$4,0,1),0)</f>
        <v>0</v>
      </c>
      <c r="T21" s="3">
        <f ca="1">IF(T$2&gt;0,IF(RAND()&lt;1-Tecnología!$D$4,0,1),0)</f>
        <v>0</v>
      </c>
      <c r="U21" s="3">
        <f ca="1">IF(U$2&gt;0,IF(RAND()&lt;1-Tecnología!$D$4,0,1),0)</f>
        <v>0</v>
      </c>
      <c r="V21" s="3">
        <f ca="1">IF(V$2&gt;0,IF(RAND()&lt;1-Tecnología!$D$4,0,1),0)</f>
        <v>0</v>
      </c>
    </row>
    <row r="22" spans="1:22" x14ac:dyDescent="0.35">
      <c r="A22" s="1">
        <v>19</v>
      </c>
      <c r="C22" s="3">
        <f ca="1">IF(C$2&gt;0,IF(RAND()&lt;1-Tecnología!$D$4,0,1),0)</f>
        <v>1</v>
      </c>
      <c r="D22" s="3">
        <f ca="1">IF(D$2&gt;0,IF(RAND()&lt;1-Tecnología!$D$4,0,1),0)</f>
        <v>0</v>
      </c>
      <c r="E22" s="3">
        <f ca="1">IF(E$2&gt;0,IF(RAND()&lt;1-Tecnología!$D$4,0,1),0)</f>
        <v>0</v>
      </c>
      <c r="F22" s="3">
        <f ca="1">IF(F$2&gt;0,IF(RAND()&lt;1-Tecnología!$D$4,0,1),0)</f>
        <v>0</v>
      </c>
      <c r="G22" s="3">
        <f ca="1">IF(G$2&gt;0,IF(RAND()&lt;1-Tecnología!$D$4,0,1),0)</f>
        <v>1</v>
      </c>
      <c r="H22" s="3">
        <f ca="1">IF(H$2&gt;0,IF(RAND()&lt;1-Tecnología!$D$4,0,1),0)</f>
        <v>0</v>
      </c>
      <c r="I22" s="3">
        <f ca="1">IF(I$2&gt;0,IF(RAND()&lt;1-Tecnología!$D$4,0,1),0)</f>
        <v>0</v>
      </c>
      <c r="J22" s="3">
        <f ca="1">IF(J$2&gt;0,IF(RAND()&lt;1-Tecnología!$D$4,0,1),0)</f>
        <v>0</v>
      </c>
      <c r="K22" s="3">
        <f ca="1">IF(K$2&gt;0,IF(RAND()&lt;1-Tecnología!$D$4,0,1),0)</f>
        <v>1</v>
      </c>
      <c r="L22" s="3">
        <f ca="1">IF(L$2&gt;0,IF(RAND()&lt;1-Tecnología!$D$4,0,1),0)</f>
        <v>0</v>
      </c>
      <c r="M22" s="3">
        <f ca="1">IF(M$2&gt;0,IF(RAND()&lt;1-Tecnología!$D$4,0,1),0)</f>
        <v>0</v>
      </c>
      <c r="N22" s="3">
        <f ca="1">IF(N$2&gt;0,IF(RAND()&lt;1-Tecnología!$D$4,0,1),0)</f>
        <v>0</v>
      </c>
      <c r="O22" s="3">
        <f ca="1">IF(O$2&gt;0,IF(RAND()&lt;1-Tecnología!$D$4,0,1),0)</f>
        <v>1</v>
      </c>
      <c r="P22" s="3">
        <f ca="1">IF(P$2&gt;0,IF(RAND()&lt;1-Tecnología!$D$4,0,1),0)</f>
        <v>0</v>
      </c>
      <c r="Q22" s="3">
        <f ca="1">IF(Q$2&gt;0,IF(RAND()&lt;1-Tecnología!$D$4,0,1),0)</f>
        <v>0</v>
      </c>
      <c r="R22" s="3">
        <f ca="1">IF(R$2&gt;0,IF(RAND()&lt;1-Tecnología!$D$4,0,1),0)</f>
        <v>0</v>
      </c>
      <c r="S22" s="3">
        <f ca="1">IF(S$2&gt;0,IF(RAND()&lt;1-Tecnología!$D$4,0,1),0)</f>
        <v>1</v>
      </c>
      <c r="T22" s="3">
        <f ca="1">IF(T$2&gt;0,IF(RAND()&lt;1-Tecnología!$D$4,0,1),0)</f>
        <v>0</v>
      </c>
      <c r="U22" s="3">
        <f ca="1">IF(U$2&gt;0,IF(RAND()&lt;1-Tecnología!$D$4,0,1),0)</f>
        <v>0</v>
      </c>
      <c r="V22" s="3">
        <f ca="1">IF(V$2&gt;0,IF(RAND()&lt;1-Tecnología!$D$4,0,1),0)</f>
        <v>0</v>
      </c>
    </row>
    <row r="23" spans="1:22" x14ac:dyDescent="0.35">
      <c r="A23" s="1">
        <v>20</v>
      </c>
      <c r="C23" s="3">
        <f ca="1">IF(C$2&gt;0,IF(RAND()&lt;1-Tecnología!$D$4,0,1),0)</f>
        <v>1</v>
      </c>
      <c r="D23" s="3">
        <f ca="1">IF(D$2&gt;0,IF(RAND()&lt;1-Tecnología!$D$4,0,1),0)</f>
        <v>0</v>
      </c>
      <c r="E23" s="3">
        <f ca="1">IF(E$2&gt;0,IF(RAND()&lt;1-Tecnología!$D$4,0,1),0)</f>
        <v>0</v>
      </c>
      <c r="F23" s="3">
        <f ca="1">IF(F$2&gt;0,IF(RAND()&lt;1-Tecnología!$D$4,0,1),0)</f>
        <v>0</v>
      </c>
      <c r="G23" s="3">
        <f ca="1">IF(G$2&gt;0,IF(RAND()&lt;1-Tecnología!$D$4,0,1),0)</f>
        <v>1</v>
      </c>
      <c r="H23" s="3">
        <f ca="1">IF(H$2&gt;0,IF(RAND()&lt;1-Tecnología!$D$4,0,1),0)</f>
        <v>0</v>
      </c>
      <c r="I23" s="3">
        <f ca="1">IF(I$2&gt;0,IF(RAND()&lt;1-Tecnología!$D$4,0,1),0)</f>
        <v>0</v>
      </c>
      <c r="J23" s="3">
        <f ca="1">IF(J$2&gt;0,IF(RAND()&lt;1-Tecnología!$D$4,0,1),0)</f>
        <v>0</v>
      </c>
      <c r="K23" s="3">
        <f ca="1">IF(K$2&gt;0,IF(RAND()&lt;1-Tecnología!$D$4,0,1),0)</f>
        <v>0</v>
      </c>
      <c r="L23" s="3">
        <f ca="1">IF(L$2&gt;0,IF(RAND()&lt;1-Tecnología!$D$4,0,1),0)</f>
        <v>0</v>
      </c>
      <c r="M23" s="3">
        <f ca="1">IF(M$2&gt;0,IF(RAND()&lt;1-Tecnología!$D$4,0,1),0)</f>
        <v>0</v>
      </c>
      <c r="N23" s="3">
        <f ca="1">IF(N$2&gt;0,IF(RAND()&lt;1-Tecnología!$D$4,0,1),0)</f>
        <v>0</v>
      </c>
      <c r="O23" s="3">
        <f ca="1">IF(O$2&gt;0,IF(RAND()&lt;1-Tecnología!$D$4,0,1),0)</f>
        <v>0</v>
      </c>
      <c r="P23" s="3">
        <f ca="1">IF(P$2&gt;0,IF(RAND()&lt;1-Tecnología!$D$4,0,1),0)</f>
        <v>0</v>
      </c>
      <c r="Q23" s="3">
        <f ca="1">IF(Q$2&gt;0,IF(RAND()&lt;1-Tecnología!$D$4,0,1),0)</f>
        <v>0</v>
      </c>
      <c r="R23" s="3">
        <f ca="1">IF(R$2&gt;0,IF(RAND()&lt;1-Tecnología!$D$4,0,1),0)</f>
        <v>0</v>
      </c>
      <c r="S23" s="3">
        <f ca="1">IF(S$2&gt;0,IF(RAND()&lt;1-Tecnología!$D$4,0,1),0)</f>
        <v>0</v>
      </c>
      <c r="T23" s="3">
        <f ca="1">IF(T$2&gt;0,IF(RAND()&lt;1-Tecnología!$D$4,0,1),0)</f>
        <v>0</v>
      </c>
      <c r="U23" s="3">
        <f ca="1">IF(U$2&gt;0,IF(RAND()&lt;1-Tecnología!$D$4,0,1),0)</f>
        <v>0</v>
      </c>
      <c r="V23" s="3">
        <f ca="1">IF(V$2&gt;0,IF(RAND()&lt;1-Tecnología!$D$4,0,1),0)</f>
        <v>0</v>
      </c>
    </row>
    <row r="24" spans="1:22" x14ac:dyDescent="0.35">
      <c r="A24" s="1">
        <v>21</v>
      </c>
      <c r="C24" s="3">
        <f ca="1">IF(C$2&gt;0,IF(RAND()&lt;1-Tecnología!$D$4,0,1),0)</f>
        <v>0</v>
      </c>
      <c r="D24" s="3">
        <f ca="1">IF(D$2&gt;0,IF(RAND()&lt;1-Tecnología!$D$4,0,1),0)</f>
        <v>0</v>
      </c>
      <c r="E24" s="3">
        <f ca="1">IF(E$2&gt;0,IF(RAND()&lt;1-Tecnología!$D$4,0,1),0)</f>
        <v>0</v>
      </c>
      <c r="F24" s="3">
        <f ca="1">IF(F$2&gt;0,IF(RAND()&lt;1-Tecnología!$D$4,0,1),0)</f>
        <v>0</v>
      </c>
      <c r="G24" s="3">
        <f ca="1">IF(G$2&gt;0,IF(RAND()&lt;1-Tecnología!$D$4,0,1),0)</f>
        <v>0</v>
      </c>
      <c r="H24" s="3">
        <f ca="1">IF(H$2&gt;0,IF(RAND()&lt;1-Tecnología!$D$4,0,1),0)</f>
        <v>0</v>
      </c>
      <c r="I24" s="3">
        <f ca="1">IF(I$2&gt;0,IF(RAND()&lt;1-Tecnología!$D$4,0,1),0)</f>
        <v>0</v>
      </c>
      <c r="J24" s="3">
        <f ca="1">IF(J$2&gt;0,IF(RAND()&lt;1-Tecnología!$D$4,0,1),0)</f>
        <v>0</v>
      </c>
      <c r="K24" s="3">
        <f ca="1">IF(K$2&gt;0,IF(RAND()&lt;1-Tecnología!$D$4,0,1),0)</f>
        <v>1</v>
      </c>
      <c r="L24" s="3">
        <f ca="1">IF(L$2&gt;0,IF(RAND()&lt;1-Tecnología!$D$4,0,1),0)</f>
        <v>0</v>
      </c>
      <c r="M24" s="3">
        <f ca="1">IF(M$2&gt;0,IF(RAND()&lt;1-Tecnología!$D$4,0,1),0)</f>
        <v>0</v>
      </c>
      <c r="N24" s="3">
        <f ca="1">IF(N$2&gt;0,IF(RAND()&lt;1-Tecnología!$D$4,0,1),0)</f>
        <v>0</v>
      </c>
      <c r="O24" s="3">
        <f ca="1">IF(O$2&gt;0,IF(RAND()&lt;1-Tecnología!$D$4,0,1),0)</f>
        <v>0</v>
      </c>
      <c r="P24" s="3">
        <f ca="1">IF(P$2&gt;0,IF(RAND()&lt;1-Tecnología!$D$4,0,1),0)</f>
        <v>0</v>
      </c>
      <c r="Q24" s="3">
        <f ca="1">IF(Q$2&gt;0,IF(RAND()&lt;1-Tecnología!$D$4,0,1),0)</f>
        <v>0</v>
      </c>
      <c r="R24" s="3">
        <f ca="1">IF(R$2&gt;0,IF(RAND()&lt;1-Tecnología!$D$4,0,1),0)</f>
        <v>0</v>
      </c>
      <c r="S24" s="3">
        <f ca="1">IF(S$2&gt;0,IF(RAND()&lt;1-Tecnología!$D$4,0,1),0)</f>
        <v>1</v>
      </c>
      <c r="T24" s="3">
        <f ca="1">IF(T$2&gt;0,IF(RAND()&lt;1-Tecnología!$D$4,0,1),0)</f>
        <v>0</v>
      </c>
      <c r="U24" s="3">
        <f ca="1">IF(U$2&gt;0,IF(RAND()&lt;1-Tecnología!$D$4,0,1),0)</f>
        <v>0</v>
      </c>
      <c r="V24" s="3">
        <f ca="1">IF(V$2&gt;0,IF(RAND()&lt;1-Tecnología!$D$4,0,1),0)</f>
        <v>0</v>
      </c>
    </row>
    <row r="25" spans="1:22" x14ac:dyDescent="0.35">
      <c r="A25" s="1">
        <v>22</v>
      </c>
      <c r="C25" s="3">
        <f ca="1">IF(C$2&gt;0,IF(RAND()&lt;1-Tecnología!$D$4,0,1),0)</f>
        <v>0</v>
      </c>
      <c r="D25" s="3">
        <f ca="1">IF(D$2&gt;0,IF(RAND()&lt;1-Tecnología!$D$4,0,1),0)</f>
        <v>0</v>
      </c>
      <c r="E25" s="3">
        <f ca="1">IF(E$2&gt;0,IF(RAND()&lt;1-Tecnología!$D$4,0,1),0)</f>
        <v>0</v>
      </c>
      <c r="F25" s="3">
        <f ca="1">IF(F$2&gt;0,IF(RAND()&lt;1-Tecnología!$D$4,0,1),0)</f>
        <v>0</v>
      </c>
      <c r="G25" s="3">
        <f ca="1">IF(G$2&gt;0,IF(RAND()&lt;1-Tecnología!$D$4,0,1),0)</f>
        <v>1</v>
      </c>
      <c r="H25" s="3">
        <f ca="1">IF(H$2&gt;0,IF(RAND()&lt;1-Tecnología!$D$4,0,1),0)</f>
        <v>0</v>
      </c>
      <c r="I25" s="3">
        <f ca="1">IF(I$2&gt;0,IF(RAND()&lt;1-Tecnología!$D$4,0,1),0)</f>
        <v>0</v>
      </c>
      <c r="J25" s="3">
        <f ca="1">IF(J$2&gt;0,IF(RAND()&lt;1-Tecnología!$D$4,0,1),0)</f>
        <v>0</v>
      </c>
      <c r="K25" s="3">
        <f ca="1">IF(K$2&gt;0,IF(RAND()&lt;1-Tecnología!$D$4,0,1),0)</f>
        <v>1</v>
      </c>
      <c r="L25" s="3">
        <f ca="1">IF(L$2&gt;0,IF(RAND()&lt;1-Tecnología!$D$4,0,1),0)</f>
        <v>0</v>
      </c>
      <c r="M25" s="3">
        <f ca="1">IF(M$2&gt;0,IF(RAND()&lt;1-Tecnología!$D$4,0,1),0)</f>
        <v>0</v>
      </c>
      <c r="N25" s="3">
        <f ca="1">IF(N$2&gt;0,IF(RAND()&lt;1-Tecnología!$D$4,0,1),0)</f>
        <v>0</v>
      </c>
      <c r="O25" s="3">
        <f ca="1">IF(O$2&gt;0,IF(RAND()&lt;1-Tecnología!$D$4,0,1),0)</f>
        <v>1</v>
      </c>
      <c r="P25" s="3">
        <f ca="1">IF(P$2&gt;0,IF(RAND()&lt;1-Tecnología!$D$4,0,1),0)</f>
        <v>0</v>
      </c>
      <c r="Q25" s="3">
        <f ca="1">IF(Q$2&gt;0,IF(RAND()&lt;1-Tecnología!$D$4,0,1),0)</f>
        <v>0</v>
      </c>
      <c r="R25" s="3">
        <f ca="1">IF(R$2&gt;0,IF(RAND()&lt;1-Tecnología!$D$4,0,1),0)</f>
        <v>0</v>
      </c>
      <c r="S25" s="3">
        <f ca="1">IF(S$2&gt;0,IF(RAND()&lt;1-Tecnología!$D$4,0,1),0)</f>
        <v>0</v>
      </c>
      <c r="T25" s="3">
        <f ca="1">IF(T$2&gt;0,IF(RAND()&lt;1-Tecnología!$D$4,0,1),0)</f>
        <v>0</v>
      </c>
      <c r="U25" s="3">
        <f ca="1">IF(U$2&gt;0,IF(RAND()&lt;1-Tecnología!$D$4,0,1),0)</f>
        <v>0</v>
      </c>
      <c r="V25" s="3">
        <f ca="1">IF(V$2&gt;0,IF(RAND()&lt;1-Tecnología!$D$4,0,1),0)</f>
        <v>0</v>
      </c>
    </row>
    <row r="26" spans="1:22" x14ac:dyDescent="0.35">
      <c r="A26" s="1">
        <v>23</v>
      </c>
      <c r="C26" s="3">
        <f ca="1">IF(C$2&gt;0,IF(RAND()&lt;1-Tecnología!$D$4,0,1),0)</f>
        <v>1</v>
      </c>
      <c r="D26" s="3">
        <f ca="1">IF(D$2&gt;0,IF(RAND()&lt;1-Tecnología!$D$4,0,1),0)</f>
        <v>0</v>
      </c>
      <c r="E26" s="3">
        <f ca="1">IF(E$2&gt;0,IF(RAND()&lt;1-Tecnología!$D$4,0,1),0)</f>
        <v>0</v>
      </c>
      <c r="F26" s="3">
        <f ca="1">IF(F$2&gt;0,IF(RAND()&lt;1-Tecnología!$D$4,0,1),0)</f>
        <v>0</v>
      </c>
      <c r="G26" s="3">
        <f ca="1">IF(G$2&gt;0,IF(RAND()&lt;1-Tecnología!$D$4,0,1),0)</f>
        <v>0</v>
      </c>
      <c r="H26" s="3">
        <f ca="1">IF(H$2&gt;0,IF(RAND()&lt;1-Tecnología!$D$4,0,1),0)</f>
        <v>0</v>
      </c>
      <c r="I26" s="3">
        <f ca="1">IF(I$2&gt;0,IF(RAND()&lt;1-Tecnología!$D$4,0,1),0)</f>
        <v>0</v>
      </c>
      <c r="J26" s="3">
        <f ca="1">IF(J$2&gt;0,IF(RAND()&lt;1-Tecnología!$D$4,0,1),0)</f>
        <v>0</v>
      </c>
      <c r="K26" s="3">
        <f ca="1">IF(K$2&gt;0,IF(RAND()&lt;1-Tecnología!$D$4,0,1),0)</f>
        <v>1</v>
      </c>
      <c r="L26" s="3">
        <f ca="1">IF(L$2&gt;0,IF(RAND()&lt;1-Tecnología!$D$4,0,1),0)</f>
        <v>0</v>
      </c>
      <c r="M26" s="3">
        <f ca="1">IF(M$2&gt;0,IF(RAND()&lt;1-Tecnología!$D$4,0,1),0)</f>
        <v>0</v>
      </c>
      <c r="N26" s="3">
        <f ca="1">IF(N$2&gt;0,IF(RAND()&lt;1-Tecnología!$D$4,0,1),0)</f>
        <v>0</v>
      </c>
      <c r="O26" s="3">
        <f ca="1">IF(O$2&gt;0,IF(RAND()&lt;1-Tecnología!$D$4,0,1),0)</f>
        <v>0</v>
      </c>
      <c r="P26" s="3">
        <f ca="1">IF(P$2&gt;0,IF(RAND()&lt;1-Tecnología!$D$4,0,1),0)</f>
        <v>0</v>
      </c>
      <c r="Q26" s="3">
        <f ca="1">IF(Q$2&gt;0,IF(RAND()&lt;1-Tecnología!$D$4,0,1),0)</f>
        <v>0</v>
      </c>
      <c r="R26" s="3">
        <f ca="1">IF(R$2&gt;0,IF(RAND()&lt;1-Tecnología!$D$4,0,1),0)</f>
        <v>0</v>
      </c>
      <c r="S26" s="3">
        <f ca="1">IF(S$2&gt;0,IF(RAND()&lt;1-Tecnología!$D$4,0,1),0)</f>
        <v>0</v>
      </c>
      <c r="T26" s="3">
        <f ca="1">IF(T$2&gt;0,IF(RAND()&lt;1-Tecnología!$D$4,0,1),0)</f>
        <v>0</v>
      </c>
      <c r="U26" s="3">
        <f ca="1">IF(U$2&gt;0,IF(RAND()&lt;1-Tecnología!$D$4,0,1),0)</f>
        <v>0</v>
      </c>
      <c r="V26" s="3">
        <f ca="1">IF(V$2&gt;0,IF(RAND()&lt;1-Tecnología!$D$4,0,1),0)</f>
        <v>0</v>
      </c>
    </row>
    <row r="27" spans="1:22" x14ac:dyDescent="0.35">
      <c r="A27" s="1">
        <v>24</v>
      </c>
      <c r="C27" s="3">
        <f ca="1">IF(C$2&gt;0,IF(RAND()&lt;1-Tecnología!$D$4,0,1),0)</f>
        <v>0</v>
      </c>
      <c r="D27" s="3">
        <f ca="1">IF(D$2&gt;0,IF(RAND()&lt;1-Tecnología!$D$4,0,1),0)</f>
        <v>0</v>
      </c>
      <c r="E27" s="3">
        <f ca="1">IF(E$2&gt;0,IF(RAND()&lt;1-Tecnología!$D$4,0,1),0)</f>
        <v>0</v>
      </c>
      <c r="F27" s="3">
        <f ca="1">IF(F$2&gt;0,IF(RAND()&lt;1-Tecnología!$D$4,0,1),0)</f>
        <v>0</v>
      </c>
      <c r="G27" s="3">
        <f ca="1">IF(G$2&gt;0,IF(RAND()&lt;1-Tecnología!$D$4,0,1),0)</f>
        <v>1</v>
      </c>
      <c r="H27" s="3">
        <f ca="1">IF(H$2&gt;0,IF(RAND()&lt;1-Tecnología!$D$4,0,1),0)</f>
        <v>0</v>
      </c>
      <c r="I27" s="3">
        <f ca="1">IF(I$2&gt;0,IF(RAND()&lt;1-Tecnología!$D$4,0,1),0)</f>
        <v>0</v>
      </c>
      <c r="J27" s="3">
        <f ca="1">IF(J$2&gt;0,IF(RAND()&lt;1-Tecnología!$D$4,0,1),0)</f>
        <v>0</v>
      </c>
      <c r="K27" s="3">
        <f ca="1">IF(K$2&gt;0,IF(RAND()&lt;1-Tecnología!$D$4,0,1),0)</f>
        <v>0</v>
      </c>
      <c r="L27" s="3">
        <f ca="1">IF(L$2&gt;0,IF(RAND()&lt;1-Tecnología!$D$4,0,1),0)</f>
        <v>0</v>
      </c>
      <c r="M27" s="3">
        <f ca="1">IF(M$2&gt;0,IF(RAND()&lt;1-Tecnología!$D$4,0,1),0)</f>
        <v>0</v>
      </c>
      <c r="N27" s="3">
        <f ca="1">IF(N$2&gt;0,IF(RAND()&lt;1-Tecnología!$D$4,0,1),0)</f>
        <v>0</v>
      </c>
      <c r="O27" s="3">
        <f ca="1">IF(O$2&gt;0,IF(RAND()&lt;1-Tecnología!$D$4,0,1),0)</f>
        <v>1</v>
      </c>
      <c r="P27" s="3">
        <f ca="1">IF(P$2&gt;0,IF(RAND()&lt;1-Tecnología!$D$4,0,1),0)</f>
        <v>0</v>
      </c>
      <c r="Q27" s="3">
        <f ca="1">IF(Q$2&gt;0,IF(RAND()&lt;1-Tecnología!$D$4,0,1),0)</f>
        <v>0</v>
      </c>
      <c r="R27" s="3">
        <f ca="1">IF(R$2&gt;0,IF(RAND()&lt;1-Tecnología!$D$4,0,1),0)</f>
        <v>0</v>
      </c>
      <c r="S27" s="3">
        <f ca="1">IF(S$2&gt;0,IF(RAND()&lt;1-Tecnología!$D$4,0,1),0)</f>
        <v>1</v>
      </c>
      <c r="T27" s="3">
        <f ca="1">IF(T$2&gt;0,IF(RAND()&lt;1-Tecnología!$D$4,0,1),0)</f>
        <v>0</v>
      </c>
      <c r="U27" s="3">
        <f ca="1">IF(U$2&gt;0,IF(RAND()&lt;1-Tecnología!$D$4,0,1),0)</f>
        <v>0</v>
      </c>
      <c r="V27" s="3">
        <f ca="1">IF(V$2&gt;0,IF(RAND()&lt;1-Tecnología!$D$4,0,1),0)</f>
        <v>0</v>
      </c>
    </row>
    <row r="28" spans="1:22" x14ac:dyDescent="0.35">
      <c r="A28" s="1">
        <v>25</v>
      </c>
      <c r="C28" s="3">
        <f ca="1">IF(C$2&gt;0,IF(RAND()&lt;1-Tecnología!$D$4,0,1),0)</f>
        <v>0</v>
      </c>
      <c r="D28" s="3">
        <f ca="1">IF(D$2&gt;0,IF(RAND()&lt;1-Tecnología!$D$4,0,1),0)</f>
        <v>0</v>
      </c>
      <c r="E28" s="3">
        <f ca="1">IF(E$2&gt;0,IF(RAND()&lt;1-Tecnología!$D$4,0,1),0)</f>
        <v>0</v>
      </c>
      <c r="F28" s="3">
        <f ca="1">IF(F$2&gt;0,IF(RAND()&lt;1-Tecnología!$D$4,0,1),0)</f>
        <v>0</v>
      </c>
      <c r="G28" s="3">
        <f ca="1">IF(G$2&gt;0,IF(RAND()&lt;1-Tecnología!$D$4,0,1),0)</f>
        <v>0</v>
      </c>
      <c r="H28" s="3">
        <f ca="1">IF(H$2&gt;0,IF(RAND()&lt;1-Tecnología!$D$4,0,1),0)</f>
        <v>0</v>
      </c>
      <c r="I28" s="3">
        <f ca="1">IF(I$2&gt;0,IF(RAND()&lt;1-Tecnología!$D$4,0,1),0)</f>
        <v>0</v>
      </c>
      <c r="J28" s="3">
        <f ca="1">IF(J$2&gt;0,IF(RAND()&lt;1-Tecnología!$D$4,0,1),0)</f>
        <v>0</v>
      </c>
      <c r="K28" s="3">
        <f ca="1">IF(K$2&gt;0,IF(RAND()&lt;1-Tecnología!$D$4,0,1),0)</f>
        <v>0</v>
      </c>
      <c r="L28" s="3">
        <f ca="1">IF(L$2&gt;0,IF(RAND()&lt;1-Tecnología!$D$4,0,1),0)</f>
        <v>0</v>
      </c>
      <c r="M28" s="3">
        <f ca="1">IF(M$2&gt;0,IF(RAND()&lt;1-Tecnología!$D$4,0,1),0)</f>
        <v>0</v>
      </c>
      <c r="N28" s="3">
        <f ca="1">IF(N$2&gt;0,IF(RAND()&lt;1-Tecnología!$D$4,0,1),0)</f>
        <v>0</v>
      </c>
      <c r="O28" s="3">
        <f ca="1">IF(O$2&gt;0,IF(RAND()&lt;1-Tecnología!$D$4,0,1),0)</f>
        <v>1</v>
      </c>
      <c r="P28" s="3">
        <f ca="1">IF(P$2&gt;0,IF(RAND()&lt;1-Tecnología!$D$4,0,1),0)</f>
        <v>0</v>
      </c>
      <c r="Q28" s="3">
        <f ca="1">IF(Q$2&gt;0,IF(RAND()&lt;1-Tecnología!$D$4,0,1),0)</f>
        <v>0</v>
      </c>
      <c r="R28" s="3">
        <f ca="1">IF(R$2&gt;0,IF(RAND()&lt;1-Tecnología!$D$4,0,1),0)</f>
        <v>0</v>
      </c>
      <c r="S28" s="3">
        <f ca="1">IF(S$2&gt;0,IF(RAND()&lt;1-Tecnología!$D$4,0,1),0)</f>
        <v>0</v>
      </c>
      <c r="T28" s="3">
        <f ca="1">IF(T$2&gt;0,IF(RAND()&lt;1-Tecnología!$D$4,0,1),0)</f>
        <v>0</v>
      </c>
      <c r="U28" s="3">
        <f ca="1">IF(U$2&gt;0,IF(RAND()&lt;1-Tecnología!$D$4,0,1),0)</f>
        <v>0</v>
      </c>
      <c r="V28" s="3">
        <f ca="1">IF(V$2&gt;0,IF(RAND()&lt;1-Tecnología!$D$4,0,1),0)</f>
        <v>0</v>
      </c>
    </row>
    <row r="29" spans="1:22" x14ac:dyDescent="0.35">
      <c r="A29" s="1">
        <v>26</v>
      </c>
      <c r="C29" s="3">
        <f ca="1">IF(C$2&gt;0,IF(RAND()&lt;1-Tecnología!$D$4,0,1),0)</f>
        <v>0</v>
      </c>
      <c r="D29" s="3">
        <f ca="1">IF(D$2&gt;0,IF(RAND()&lt;1-Tecnología!$D$4,0,1),0)</f>
        <v>0</v>
      </c>
      <c r="E29" s="3">
        <f ca="1">IF(E$2&gt;0,IF(RAND()&lt;1-Tecnología!$D$4,0,1),0)</f>
        <v>0</v>
      </c>
      <c r="F29" s="3">
        <f ca="1">IF(F$2&gt;0,IF(RAND()&lt;1-Tecnología!$D$4,0,1),0)</f>
        <v>0</v>
      </c>
      <c r="G29" s="3">
        <f ca="1">IF(G$2&gt;0,IF(RAND()&lt;1-Tecnología!$D$4,0,1),0)</f>
        <v>0</v>
      </c>
      <c r="H29" s="3">
        <f ca="1">IF(H$2&gt;0,IF(RAND()&lt;1-Tecnología!$D$4,0,1),0)</f>
        <v>0</v>
      </c>
      <c r="I29" s="3">
        <f ca="1">IF(I$2&gt;0,IF(RAND()&lt;1-Tecnología!$D$4,0,1),0)</f>
        <v>0</v>
      </c>
      <c r="J29" s="3">
        <f ca="1">IF(J$2&gt;0,IF(RAND()&lt;1-Tecnología!$D$4,0,1),0)</f>
        <v>0</v>
      </c>
      <c r="K29" s="3">
        <f ca="1">IF(K$2&gt;0,IF(RAND()&lt;1-Tecnología!$D$4,0,1),0)</f>
        <v>1</v>
      </c>
      <c r="L29" s="3">
        <f ca="1">IF(L$2&gt;0,IF(RAND()&lt;1-Tecnología!$D$4,0,1),0)</f>
        <v>0</v>
      </c>
      <c r="M29" s="3">
        <f ca="1">IF(M$2&gt;0,IF(RAND()&lt;1-Tecnología!$D$4,0,1),0)</f>
        <v>0</v>
      </c>
      <c r="N29" s="3">
        <f ca="1">IF(N$2&gt;0,IF(RAND()&lt;1-Tecnología!$D$4,0,1),0)</f>
        <v>0</v>
      </c>
      <c r="O29" s="3">
        <f ca="1">IF(O$2&gt;0,IF(RAND()&lt;1-Tecnología!$D$4,0,1),0)</f>
        <v>1</v>
      </c>
      <c r="P29" s="3">
        <f ca="1">IF(P$2&gt;0,IF(RAND()&lt;1-Tecnología!$D$4,0,1),0)</f>
        <v>0</v>
      </c>
      <c r="Q29" s="3">
        <f ca="1">IF(Q$2&gt;0,IF(RAND()&lt;1-Tecnología!$D$4,0,1),0)</f>
        <v>0</v>
      </c>
      <c r="R29" s="3">
        <f ca="1">IF(R$2&gt;0,IF(RAND()&lt;1-Tecnología!$D$4,0,1),0)</f>
        <v>0</v>
      </c>
      <c r="S29" s="3">
        <f ca="1">IF(S$2&gt;0,IF(RAND()&lt;1-Tecnología!$D$4,0,1),0)</f>
        <v>1</v>
      </c>
      <c r="T29" s="3">
        <f ca="1">IF(T$2&gt;0,IF(RAND()&lt;1-Tecnología!$D$4,0,1),0)</f>
        <v>0</v>
      </c>
      <c r="U29" s="3">
        <f ca="1">IF(U$2&gt;0,IF(RAND()&lt;1-Tecnología!$D$4,0,1),0)</f>
        <v>0</v>
      </c>
      <c r="V29" s="3">
        <f ca="1">IF(V$2&gt;0,IF(RAND()&lt;1-Tecnología!$D$4,0,1),0)</f>
        <v>0</v>
      </c>
    </row>
    <row r="30" spans="1:22" x14ac:dyDescent="0.35">
      <c r="A30" s="1">
        <v>27</v>
      </c>
      <c r="C30" s="3">
        <f ca="1">IF(C$2&gt;0,IF(RAND()&lt;1-Tecnología!$D$4,0,1),0)</f>
        <v>1</v>
      </c>
      <c r="D30" s="3">
        <f ca="1">IF(D$2&gt;0,IF(RAND()&lt;1-Tecnología!$D$4,0,1),0)</f>
        <v>0</v>
      </c>
      <c r="E30" s="3">
        <f ca="1">IF(E$2&gt;0,IF(RAND()&lt;1-Tecnología!$D$4,0,1),0)</f>
        <v>0</v>
      </c>
      <c r="F30" s="3">
        <f ca="1">IF(F$2&gt;0,IF(RAND()&lt;1-Tecnología!$D$4,0,1),0)</f>
        <v>0</v>
      </c>
      <c r="G30" s="3">
        <f ca="1">IF(G$2&gt;0,IF(RAND()&lt;1-Tecnología!$D$4,0,1),0)</f>
        <v>1</v>
      </c>
      <c r="H30" s="3">
        <f ca="1">IF(H$2&gt;0,IF(RAND()&lt;1-Tecnología!$D$4,0,1),0)</f>
        <v>0</v>
      </c>
      <c r="I30" s="3">
        <f ca="1">IF(I$2&gt;0,IF(RAND()&lt;1-Tecnología!$D$4,0,1),0)</f>
        <v>0</v>
      </c>
      <c r="J30" s="3">
        <f ca="1">IF(J$2&gt;0,IF(RAND()&lt;1-Tecnología!$D$4,0,1),0)</f>
        <v>0</v>
      </c>
      <c r="K30" s="3">
        <f ca="1">IF(K$2&gt;0,IF(RAND()&lt;1-Tecnología!$D$4,0,1),0)</f>
        <v>0</v>
      </c>
      <c r="L30" s="3">
        <f ca="1">IF(L$2&gt;0,IF(RAND()&lt;1-Tecnología!$D$4,0,1),0)</f>
        <v>0</v>
      </c>
      <c r="M30" s="3">
        <f ca="1">IF(M$2&gt;0,IF(RAND()&lt;1-Tecnología!$D$4,0,1),0)</f>
        <v>0</v>
      </c>
      <c r="N30" s="3">
        <f ca="1">IF(N$2&gt;0,IF(RAND()&lt;1-Tecnología!$D$4,0,1),0)</f>
        <v>0</v>
      </c>
      <c r="O30" s="3">
        <f ca="1">IF(O$2&gt;0,IF(RAND()&lt;1-Tecnología!$D$4,0,1),0)</f>
        <v>0</v>
      </c>
      <c r="P30" s="3">
        <f ca="1">IF(P$2&gt;0,IF(RAND()&lt;1-Tecnología!$D$4,0,1),0)</f>
        <v>0</v>
      </c>
      <c r="Q30" s="3">
        <f ca="1">IF(Q$2&gt;0,IF(RAND()&lt;1-Tecnología!$D$4,0,1),0)</f>
        <v>0</v>
      </c>
      <c r="R30" s="3">
        <f ca="1">IF(R$2&gt;0,IF(RAND()&lt;1-Tecnología!$D$4,0,1),0)</f>
        <v>0</v>
      </c>
      <c r="S30" s="3">
        <f ca="1">IF(S$2&gt;0,IF(RAND()&lt;1-Tecnología!$D$4,0,1),0)</f>
        <v>1</v>
      </c>
      <c r="T30" s="3">
        <f ca="1">IF(T$2&gt;0,IF(RAND()&lt;1-Tecnología!$D$4,0,1),0)</f>
        <v>0</v>
      </c>
      <c r="U30" s="3">
        <f ca="1">IF(U$2&gt;0,IF(RAND()&lt;1-Tecnología!$D$4,0,1),0)</f>
        <v>0</v>
      </c>
      <c r="V30" s="3">
        <f ca="1">IF(V$2&gt;0,IF(RAND()&lt;1-Tecnología!$D$4,0,1),0)</f>
        <v>0</v>
      </c>
    </row>
    <row r="31" spans="1:22" x14ac:dyDescent="0.35">
      <c r="A31" s="1">
        <v>28</v>
      </c>
      <c r="C31" s="3">
        <f ca="1">IF(C$2&gt;0,IF(RAND()&lt;1-Tecnología!$D$4,0,1),0)</f>
        <v>1</v>
      </c>
      <c r="D31" s="3">
        <f ca="1">IF(D$2&gt;0,IF(RAND()&lt;1-Tecnología!$D$4,0,1),0)</f>
        <v>0</v>
      </c>
      <c r="E31" s="3">
        <f ca="1">IF(E$2&gt;0,IF(RAND()&lt;1-Tecnología!$D$4,0,1),0)</f>
        <v>0</v>
      </c>
      <c r="F31" s="3">
        <f ca="1">IF(F$2&gt;0,IF(RAND()&lt;1-Tecnología!$D$4,0,1),0)</f>
        <v>0</v>
      </c>
      <c r="G31" s="3">
        <f ca="1">IF(G$2&gt;0,IF(RAND()&lt;1-Tecnología!$D$4,0,1),0)</f>
        <v>1</v>
      </c>
      <c r="H31" s="3">
        <f ca="1">IF(H$2&gt;0,IF(RAND()&lt;1-Tecnología!$D$4,0,1),0)</f>
        <v>0</v>
      </c>
      <c r="I31" s="3">
        <f ca="1">IF(I$2&gt;0,IF(RAND()&lt;1-Tecnología!$D$4,0,1),0)</f>
        <v>0</v>
      </c>
      <c r="J31" s="3">
        <f ca="1">IF(J$2&gt;0,IF(RAND()&lt;1-Tecnología!$D$4,0,1),0)</f>
        <v>0</v>
      </c>
      <c r="K31" s="3">
        <f ca="1">IF(K$2&gt;0,IF(RAND()&lt;1-Tecnología!$D$4,0,1),0)</f>
        <v>0</v>
      </c>
      <c r="L31" s="3">
        <f ca="1">IF(L$2&gt;0,IF(RAND()&lt;1-Tecnología!$D$4,0,1),0)</f>
        <v>0</v>
      </c>
      <c r="M31" s="3">
        <f ca="1">IF(M$2&gt;0,IF(RAND()&lt;1-Tecnología!$D$4,0,1),0)</f>
        <v>0</v>
      </c>
      <c r="N31" s="3">
        <f ca="1">IF(N$2&gt;0,IF(RAND()&lt;1-Tecnología!$D$4,0,1),0)</f>
        <v>0</v>
      </c>
      <c r="O31" s="3">
        <f ca="1">IF(O$2&gt;0,IF(RAND()&lt;1-Tecnología!$D$4,0,1),0)</f>
        <v>0</v>
      </c>
      <c r="P31" s="3">
        <f ca="1">IF(P$2&gt;0,IF(RAND()&lt;1-Tecnología!$D$4,0,1),0)</f>
        <v>0</v>
      </c>
      <c r="Q31" s="3">
        <f ca="1">IF(Q$2&gt;0,IF(RAND()&lt;1-Tecnología!$D$4,0,1),0)</f>
        <v>0</v>
      </c>
      <c r="R31" s="3">
        <f ca="1">IF(R$2&gt;0,IF(RAND()&lt;1-Tecnología!$D$4,0,1),0)</f>
        <v>0</v>
      </c>
      <c r="S31" s="3">
        <f ca="1">IF(S$2&gt;0,IF(RAND()&lt;1-Tecnología!$D$4,0,1),0)</f>
        <v>0</v>
      </c>
      <c r="T31" s="3">
        <f ca="1">IF(T$2&gt;0,IF(RAND()&lt;1-Tecnología!$D$4,0,1),0)</f>
        <v>0</v>
      </c>
      <c r="U31" s="3">
        <f ca="1">IF(U$2&gt;0,IF(RAND()&lt;1-Tecnología!$D$4,0,1),0)</f>
        <v>0</v>
      </c>
      <c r="V31" s="3">
        <f ca="1">IF(V$2&gt;0,IF(RAND()&lt;1-Tecnología!$D$4,0,1),0)</f>
        <v>0</v>
      </c>
    </row>
    <row r="32" spans="1:22" x14ac:dyDescent="0.35">
      <c r="A32" s="1">
        <v>29</v>
      </c>
      <c r="C32" s="3">
        <f ca="1">IF(C$2&gt;0,IF(RAND()&lt;1-Tecnología!$D$4,0,1),0)</f>
        <v>1</v>
      </c>
      <c r="D32" s="3">
        <f ca="1">IF(D$2&gt;0,IF(RAND()&lt;1-Tecnología!$D$4,0,1),0)</f>
        <v>0</v>
      </c>
      <c r="E32" s="3">
        <f ca="1">IF(E$2&gt;0,IF(RAND()&lt;1-Tecnología!$D$4,0,1),0)</f>
        <v>0</v>
      </c>
      <c r="F32" s="3">
        <f ca="1">IF(F$2&gt;0,IF(RAND()&lt;1-Tecnología!$D$4,0,1),0)</f>
        <v>0</v>
      </c>
      <c r="G32" s="3">
        <f ca="1">IF(G$2&gt;0,IF(RAND()&lt;1-Tecnología!$D$4,0,1),0)</f>
        <v>1</v>
      </c>
      <c r="H32" s="3">
        <f ca="1">IF(H$2&gt;0,IF(RAND()&lt;1-Tecnología!$D$4,0,1),0)</f>
        <v>0</v>
      </c>
      <c r="I32" s="3">
        <f ca="1">IF(I$2&gt;0,IF(RAND()&lt;1-Tecnología!$D$4,0,1),0)</f>
        <v>0</v>
      </c>
      <c r="J32" s="3">
        <f ca="1">IF(J$2&gt;0,IF(RAND()&lt;1-Tecnología!$D$4,0,1),0)</f>
        <v>0</v>
      </c>
      <c r="K32" s="3">
        <f ca="1">IF(K$2&gt;0,IF(RAND()&lt;1-Tecnología!$D$4,0,1),0)</f>
        <v>1</v>
      </c>
      <c r="L32" s="3">
        <f ca="1">IF(L$2&gt;0,IF(RAND()&lt;1-Tecnología!$D$4,0,1),0)</f>
        <v>0</v>
      </c>
      <c r="M32" s="3">
        <f ca="1">IF(M$2&gt;0,IF(RAND()&lt;1-Tecnología!$D$4,0,1),0)</f>
        <v>0</v>
      </c>
      <c r="N32" s="3">
        <f ca="1">IF(N$2&gt;0,IF(RAND()&lt;1-Tecnología!$D$4,0,1),0)</f>
        <v>0</v>
      </c>
      <c r="O32" s="3">
        <f ca="1">IF(O$2&gt;0,IF(RAND()&lt;1-Tecnología!$D$4,0,1),0)</f>
        <v>1</v>
      </c>
      <c r="P32" s="3">
        <f ca="1">IF(P$2&gt;0,IF(RAND()&lt;1-Tecnología!$D$4,0,1),0)</f>
        <v>0</v>
      </c>
      <c r="Q32" s="3">
        <f ca="1">IF(Q$2&gt;0,IF(RAND()&lt;1-Tecnología!$D$4,0,1),0)</f>
        <v>0</v>
      </c>
      <c r="R32" s="3">
        <f ca="1">IF(R$2&gt;0,IF(RAND()&lt;1-Tecnología!$D$4,0,1),0)</f>
        <v>0</v>
      </c>
      <c r="S32" s="3">
        <f ca="1">IF(S$2&gt;0,IF(RAND()&lt;1-Tecnología!$D$4,0,1),0)</f>
        <v>1</v>
      </c>
      <c r="T32" s="3">
        <f ca="1">IF(T$2&gt;0,IF(RAND()&lt;1-Tecnología!$D$4,0,1),0)</f>
        <v>0</v>
      </c>
      <c r="U32" s="3">
        <f ca="1">IF(U$2&gt;0,IF(RAND()&lt;1-Tecnología!$D$4,0,1),0)</f>
        <v>0</v>
      </c>
      <c r="V32" s="3">
        <f ca="1">IF(V$2&gt;0,IF(RAND()&lt;1-Tecnología!$D$4,0,1),0)</f>
        <v>0</v>
      </c>
    </row>
    <row r="33" spans="1:22" x14ac:dyDescent="0.35">
      <c r="A33" s="1">
        <v>30</v>
      </c>
      <c r="C33" s="3">
        <f ca="1">IF(C$2&gt;0,IF(RAND()&lt;1-Tecnología!$D$4,0,1),0)</f>
        <v>1</v>
      </c>
      <c r="D33" s="3">
        <f ca="1">IF(D$2&gt;0,IF(RAND()&lt;1-Tecnología!$D$4,0,1),0)</f>
        <v>0</v>
      </c>
      <c r="E33" s="3">
        <f ca="1">IF(E$2&gt;0,IF(RAND()&lt;1-Tecnología!$D$4,0,1),0)</f>
        <v>0</v>
      </c>
      <c r="F33" s="3">
        <f ca="1">IF(F$2&gt;0,IF(RAND()&lt;1-Tecnología!$D$4,0,1),0)</f>
        <v>0</v>
      </c>
      <c r="G33" s="3">
        <f ca="1">IF(G$2&gt;0,IF(RAND()&lt;1-Tecnología!$D$4,0,1),0)</f>
        <v>0</v>
      </c>
      <c r="H33" s="3">
        <f ca="1">IF(H$2&gt;0,IF(RAND()&lt;1-Tecnología!$D$4,0,1),0)</f>
        <v>0</v>
      </c>
      <c r="I33" s="3">
        <f ca="1">IF(I$2&gt;0,IF(RAND()&lt;1-Tecnología!$D$4,0,1),0)</f>
        <v>0</v>
      </c>
      <c r="J33" s="3">
        <f ca="1">IF(J$2&gt;0,IF(RAND()&lt;1-Tecnología!$D$4,0,1),0)</f>
        <v>0</v>
      </c>
      <c r="K33" s="3">
        <f ca="1">IF(K$2&gt;0,IF(RAND()&lt;1-Tecnología!$D$4,0,1),0)</f>
        <v>1</v>
      </c>
      <c r="L33" s="3">
        <f ca="1">IF(L$2&gt;0,IF(RAND()&lt;1-Tecnología!$D$4,0,1),0)</f>
        <v>0</v>
      </c>
      <c r="M33" s="3">
        <f ca="1">IF(M$2&gt;0,IF(RAND()&lt;1-Tecnología!$D$4,0,1),0)</f>
        <v>0</v>
      </c>
      <c r="N33" s="3">
        <f ca="1">IF(N$2&gt;0,IF(RAND()&lt;1-Tecnología!$D$4,0,1),0)</f>
        <v>0</v>
      </c>
      <c r="O33" s="3">
        <f ca="1">IF(O$2&gt;0,IF(RAND()&lt;1-Tecnología!$D$4,0,1),0)</f>
        <v>1</v>
      </c>
      <c r="P33" s="3">
        <f ca="1">IF(P$2&gt;0,IF(RAND()&lt;1-Tecnología!$D$4,0,1),0)</f>
        <v>0</v>
      </c>
      <c r="Q33" s="3">
        <f ca="1">IF(Q$2&gt;0,IF(RAND()&lt;1-Tecnología!$D$4,0,1),0)</f>
        <v>0</v>
      </c>
      <c r="R33" s="3">
        <f ca="1">IF(R$2&gt;0,IF(RAND()&lt;1-Tecnología!$D$4,0,1),0)</f>
        <v>0</v>
      </c>
      <c r="S33" s="3">
        <f ca="1">IF(S$2&gt;0,IF(RAND()&lt;1-Tecnología!$D$4,0,1),0)</f>
        <v>0</v>
      </c>
      <c r="T33" s="3">
        <f ca="1">IF(T$2&gt;0,IF(RAND()&lt;1-Tecnología!$D$4,0,1),0)</f>
        <v>0</v>
      </c>
      <c r="U33" s="3">
        <f ca="1">IF(U$2&gt;0,IF(RAND()&lt;1-Tecnología!$D$4,0,1),0)</f>
        <v>0</v>
      </c>
      <c r="V33" s="3">
        <f ca="1">IF(V$2&gt;0,IF(RAND()&lt;1-Tecnología!$D$4,0,1),0)</f>
        <v>0</v>
      </c>
    </row>
    <row r="35" spans="1:22" x14ac:dyDescent="0.35">
      <c r="A35" s="16" t="s">
        <v>5</v>
      </c>
      <c r="B35" s="16"/>
      <c r="C35" s="3">
        <f ca="1">SUM(C4:C33)</f>
        <v>20</v>
      </c>
      <c r="D35" s="3">
        <f t="shared" ref="D35:V35" ca="1" si="0">SUM(D4:D33)</f>
        <v>0</v>
      </c>
      <c r="E35" s="3">
        <f t="shared" ca="1" si="0"/>
        <v>0</v>
      </c>
      <c r="F35" s="3">
        <f t="shared" ca="1" si="0"/>
        <v>0</v>
      </c>
      <c r="G35" s="3">
        <f t="shared" ca="1" si="0"/>
        <v>21</v>
      </c>
      <c r="H35" s="3">
        <f t="shared" ca="1" si="0"/>
        <v>0</v>
      </c>
      <c r="I35" s="3">
        <f t="shared" ca="1" si="0"/>
        <v>0</v>
      </c>
      <c r="J35" s="3">
        <f t="shared" ca="1" si="0"/>
        <v>0</v>
      </c>
      <c r="K35" s="3">
        <f t="shared" ca="1" si="0"/>
        <v>17</v>
      </c>
      <c r="L35" s="3">
        <f t="shared" ca="1" si="0"/>
        <v>0</v>
      </c>
      <c r="M35" s="3">
        <f t="shared" ca="1" si="0"/>
        <v>0</v>
      </c>
      <c r="N35" s="3">
        <f t="shared" ca="1" si="0"/>
        <v>0</v>
      </c>
      <c r="O35" s="3">
        <f t="shared" ca="1" si="0"/>
        <v>20</v>
      </c>
      <c r="P35" s="3">
        <f t="shared" ca="1" si="0"/>
        <v>0</v>
      </c>
      <c r="Q35" s="3">
        <f t="shared" ca="1" si="0"/>
        <v>0</v>
      </c>
      <c r="R35" s="3">
        <f t="shared" ca="1" si="0"/>
        <v>0</v>
      </c>
      <c r="S35" s="3">
        <f t="shared" ca="1" si="0"/>
        <v>19</v>
      </c>
      <c r="T35" s="3">
        <f t="shared" ca="1" si="0"/>
        <v>0</v>
      </c>
      <c r="U35" s="3">
        <f t="shared" ca="1" si="0"/>
        <v>0</v>
      </c>
      <c r="V35" s="3">
        <f t="shared" ca="1" si="0"/>
        <v>0</v>
      </c>
    </row>
    <row r="36" spans="1:22" x14ac:dyDescent="0.35">
      <c r="A36" s="17" t="s">
        <v>6</v>
      </c>
      <c r="B36" s="17"/>
      <c r="C36" s="8">
        <f ca="1">C35/30</f>
        <v>0.66666666666666663</v>
      </c>
      <c r="D36" s="8">
        <f t="shared" ref="D36:V36" ca="1" si="1">D35/30</f>
        <v>0</v>
      </c>
      <c r="E36" s="8">
        <f t="shared" ca="1" si="1"/>
        <v>0</v>
      </c>
      <c r="F36" s="8">
        <f t="shared" ca="1" si="1"/>
        <v>0</v>
      </c>
      <c r="G36" s="8">
        <f t="shared" ca="1" si="1"/>
        <v>0.7</v>
      </c>
      <c r="H36" s="8">
        <f t="shared" ca="1" si="1"/>
        <v>0</v>
      </c>
      <c r="I36" s="8">
        <f t="shared" ca="1" si="1"/>
        <v>0</v>
      </c>
      <c r="J36" s="8">
        <f t="shared" ca="1" si="1"/>
        <v>0</v>
      </c>
      <c r="K36" s="8">
        <f t="shared" ca="1" si="1"/>
        <v>0.56666666666666665</v>
      </c>
      <c r="L36" s="8">
        <f t="shared" ca="1" si="1"/>
        <v>0</v>
      </c>
      <c r="M36" s="8">
        <f t="shared" ca="1" si="1"/>
        <v>0</v>
      </c>
      <c r="N36" s="8">
        <f t="shared" ca="1" si="1"/>
        <v>0</v>
      </c>
      <c r="O36" s="8">
        <f t="shared" ca="1" si="1"/>
        <v>0.66666666666666663</v>
      </c>
      <c r="P36" s="8">
        <f t="shared" ca="1" si="1"/>
        <v>0</v>
      </c>
      <c r="Q36" s="8">
        <f t="shared" ca="1" si="1"/>
        <v>0</v>
      </c>
      <c r="R36" s="8">
        <f t="shared" ca="1" si="1"/>
        <v>0</v>
      </c>
      <c r="S36" s="8">
        <f t="shared" ca="1" si="1"/>
        <v>0.6333333333333333</v>
      </c>
      <c r="T36" s="8">
        <f t="shared" ca="1" si="1"/>
        <v>0</v>
      </c>
      <c r="U36" s="8">
        <f t="shared" ca="1" si="1"/>
        <v>0</v>
      </c>
      <c r="V36" s="8">
        <f t="shared" ca="1" si="1"/>
        <v>0</v>
      </c>
    </row>
  </sheetData>
  <mergeCells count="2">
    <mergeCell ref="A35:B35"/>
    <mergeCell ref="A36:B3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14DB5-93CA-40ED-B0D9-D5B2832BC756}">
  <sheetPr codeName="Sheet4"/>
  <dimension ref="A1:V36"/>
  <sheetViews>
    <sheetView zoomScale="70" zoomScaleNormal="70" workbookViewId="0">
      <selection activeCell="D1" sqref="D1:G1048576"/>
    </sheetView>
  </sheetViews>
  <sheetFormatPr defaultRowHeight="14.5" x14ac:dyDescent="0.35"/>
  <cols>
    <col min="1" max="1" width="14.26953125" style="1" bestFit="1" customWidth="1"/>
  </cols>
  <sheetData>
    <row r="1" spans="1:22" s="1" customFormat="1" x14ac:dyDescent="0.35">
      <c r="A1" s="1" t="s">
        <v>0</v>
      </c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>
        <v>9</v>
      </c>
      <c r="L1" s="1">
        <v>10</v>
      </c>
      <c r="M1" s="1">
        <v>11</v>
      </c>
      <c r="N1" s="1">
        <v>12</v>
      </c>
      <c r="O1" s="1">
        <v>13</v>
      </c>
      <c r="P1" s="1">
        <v>14</v>
      </c>
      <c r="Q1" s="1">
        <v>15</v>
      </c>
      <c r="R1" s="1">
        <v>16</v>
      </c>
      <c r="S1" s="1">
        <v>17</v>
      </c>
      <c r="T1" s="1">
        <v>18</v>
      </c>
      <c r="U1" s="1">
        <v>19</v>
      </c>
      <c r="V1" s="1">
        <v>20</v>
      </c>
    </row>
    <row r="2" spans="1:22" s="9" customFormat="1" x14ac:dyDescent="0.35">
      <c r="A2" s="9" t="s">
        <v>11</v>
      </c>
      <c r="B2" s="9">
        <f>Tecnología!B9</f>
        <v>0</v>
      </c>
      <c r="C2" s="9">
        <f>Tecnología!C9</f>
        <v>1</v>
      </c>
      <c r="D2" s="9">
        <f>Tecnología!D9</f>
        <v>0</v>
      </c>
      <c r="E2" s="9">
        <f>Tecnología!E9</f>
        <v>0</v>
      </c>
      <c r="F2" s="9">
        <f>Tecnología!F9</f>
        <v>0</v>
      </c>
      <c r="G2" s="9">
        <f>Tecnología!G9</f>
        <v>5</v>
      </c>
      <c r="H2" s="9">
        <f>Tecnología!H9</f>
        <v>0</v>
      </c>
      <c r="I2" s="9">
        <f>Tecnología!I9</f>
        <v>0</v>
      </c>
      <c r="J2" s="9">
        <f>Tecnología!J9</f>
        <v>0</v>
      </c>
      <c r="K2" s="9">
        <f>Tecnología!K9</f>
        <v>9</v>
      </c>
      <c r="L2" s="9">
        <f>Tecnología!L9</f>
        <v>0</v>
      </c>
      <c r="M2" s="9">
        <f>Tecnología!M9</f>
        <v>0</v>
      </c>
      <c r="N2" s="9">
        <f>Tecnología!N9</f>
        <v>0</v>
      </c>
      <c r="O2" s="9">
        <f>Tecnología!O9</f>
        <v>13</v>
      </c>
      <c r="P2" s="9">
        <f>Tecnología!P9</f>
        <v>0</v>
      </c>
      <c r="Q2" s="9">
        <f>Tecnología!Q9</f>
        <v>0</v>
      </c>
      <c r="R2" s="9">
        <f>Tecnología!R9</f>
        <v>0</v>
      </c>
      <c r="S2" s="9">
        <f>Tecnología!S9</f>
        <v>17</v>
      </c>
      <c r="T2" s="9">
        <f>Tecnología!T9</f>
        <v>0</v>
      </c>
      <c r="U2" s="9">
        <f>Tecnología!U9</f>
        <v>0</v>
      </c>
      <c r="V2" s="9">
        <f>Tecnología!V9</f>
        <v>0</v>
      </c>
    </row>
    <row r="3" spans="1:22" s="9" customFormat="1" x14ac:dyDescent="0.35">
      <c r="A3" s="6"/>
    </row>
    <row r="4" spans="1:22" s="2" customFormat="1" x14ac:dyDescent="0.35">
      <c r="A4" s="1">
        <v>1</v>
      </c>
      <c r="C4" s="5">
        <f ca="1">IF(C$2=0,IF(RAND()&lt;1-Tecnología!$K$4,0,1),0)</f>
        <v>0</v>
      </c>
      <c r="D4" s="5">
        <f ca="1">IF(D$2=0,IF(RAND()&lt;1-Tecnología!$K$4,0,1),0)</f>
        <v>0</v>
      </c>
      <c r="E4" s="5">
        <f ca="1">IF(E$2=0,IF(RAND()&lt;1-Tecnología!$K$4,0,1),0)</f>
        <v>1</v>
      </c>
      <c r="F4" s="5">
        <f ca="1">IF(F$2=0,IF(RAND()&lt;1-Tecnología!$K$4,0,1),0)</f>
        <v>0</v>
      </c>
      <c r="G4" s="5">
        <f ca="1">IF(G$2=0,IF(RAND()&lt;1-Tecnología!$K$4,0,1),0)</f>
        <v>0</v>
      </c>
      <c r="H4" s="5">
        <f ca="1">IF(H$2=0,IF(RAND()&lt;1-Tecnología!$K$4,0,1),0)</f>
        <v>0</v>
      </c>
      <c r="I4" s="5">
        <f ca="1">IF(I$2=0,IF(RAND()&lt;1-Tecnología!$K$4,0,1),0)</f>
        <v>1</v>
      </c>
      <c r="J4" s="5">
        <f ca="1">IF(J$2=0,IF(RAND()&lt;1-Tecnología!$K$4,0,1),0)</f>
        <v>0</v>
      </c>
      <c r="K4" s="5">
        <f ca="1">IF(K$2=0,IF(RAND()&lt;1-Tecnología!$K$4,0,1),0)</f>
        <v>0</v>
      </c>
      <c r="L4" s="5">
        <f ca="1">IF(L$2=0,IF(RAND()&lt;1-Tecnología!$K$4,0,1),0)</f>
        <v>0</v>
      </c>
      <c r="M4" s="5">
        <f ca="1">IF(M$2=0,IF(RAND()&lt;1-Tecnología!$K$4,0,1),0)</f>
        <v>1</v>
      </c>
      <c r="N4" s="5">
        <f ca="1">IF(N$2=0,IF(RAND()&lt;1-Tecnología!$K$4,0,1),0)</f>
        <v>0</v>
      </c>
      <c r="O4" s="5">
        <f ca="1">IF(O$2=0,IF(RAND()&lt;1-Tecnología!$K$4,0,1),0)</f>
        <v>0</v>
      </c>
      <c r="P4" s="5">
        <f ca="1">IF(P$2=0,IF(RAND()&lt;1-Tecnología!$K$4,0,1),0)</f>
        <v>0</v>
      </c>
      <c r="Q4" s="5">
        <f ca="1">IF(Q$2=0,IF(RAND()&lt;1-Tecnología!$K$4,0,1),0)</f>
        <v>1</v>
      </c>
      <c r="R4" s="5">
        <f ca="1">IF(R$2=0,IF(RAND()&lt;1-Tecnología!$K$4,0,1),0)</f>
        <v>1</v>
      </c>
      <c r="S4" s="5">
        <f ca="1">IF(S$2=0,IF(RAND()&lt;1-Tecnología!$K$4,0,1),0)</f>
        <v>0</v>
      </c>
      <c r="T4" s="5">
        <f ca="1">IF(T$2=0,IF(RAND()&lt;1-Tecnología!$K$4,0,1),0)</f>
        <v>0</v>
      </c>
      <c r="U4" s="5">
        <f ca="1">IF(U$2=0,IF(RAND()&lt;1-Tecnología!$K$4,0,1),0)</f>
        <v>0</v>
      </c>
      <c r="V4" s="5">
        <f ca="1">IF(V$2=0,IF(RAND()&lt;1-Tecnología!$K$4,0,1),0)</f>
        <v>0</v>
      </c>
    </row>
    <row r="5" spans="1:22" s="2" customFormat="1" x14ac:dyDescent="0.35">
      <c r="A5" s="1">
        <v>2</v>
      </c>
      <c r="C5" s="5">
        <f ca="1">IF(C$2=0,IF(RAND()&lt;1-Tecnología!$K$4,0,1),0)</f>
        <v>0</v>
      </c>
      <c r="D5" s="5">
        <f ca="1">IF(D$2=0,IF(RAND()&lt;1-Tecnología!$K$4,0,1),0)</f>
        <v>1</v>
      </c>
      <c r="E5" s="5">
        <f ca="1">IF(E$2=0,IF(RAND()&lt;1-Tecnología!$K$4,0,1),0)</f>
        <v>1</v>
      </c>
      <c r="F5" s="5">
        <f ca="1">IF(F$2=0,IF(RAND()&lt;1-Tecnología!$K$4,0,1),0)</f>
        <v>0</v>
      </c>
      <c r="G5" s="5">
        <f ca="1">IF(G$2=0,IF(RAND()&lt;1-Tecnología!$K$4,0,1),0)</f>
        <v>0</v>
      </c>
      <c r="H5" s="5">
        <f ca="1">IF(H$2=0,IF(RAND()&lt;1-Tecnología!$K$4,0,1),0)</f>
        <v>1</v>
      </c>
      <c r="I5" s="5">
        <f ca="1">IF(I$2=0,IF(RAND()&lt;1-Tecnología!$K$4,0,1),0)</f>
        <v>1</v>
      </c>
      <c r="J5" s="5">
        <f ca="1">IF(J$2=0,IF(RAND()&lt;1-Tecnología!$K$4,0,1),0)</f>
        <v>0</v>
      </c>
      <c r="K5" s="5">
        <f ca="1">IF(K$2=0,IF(RAND()&lt;1-Tecnología!$K$4,0,1),0)</f>
        <v>0</v>
      </c>
      <c r="L5" s="5">
        <f ca="1">IF(L$2=0,IF(RAND()&lt;1-Tecnología!$K$4,0,1),0)</f>
        <v>1</v>
      </c>
      <c r="M5" s="5">
        <f ca="1">IF(M$2=0,IF(RAND()&lt;1-Tecnología!$K$4,0,1),0)</f>
        <v>0</v>
      </c>
      <c r="N5" s="5">
        <f ca="1">IF(N$2=0,IF(RAND()&lt;1-Tecnología!$K$4,0,1),0)</f>
        <v>1</v>
      </c>
      <c r="O5" s="5">
        <f ca="1">IF(O$2=0,IF(RAND()&lt;1-Tecnología!$K$4,0,1),0)</f>
        <v>0</v>
      </c>
      <c r="P5" s="5">
        <f ca="1">IF(P$2=0,IF(RAND()&lt;1-Tecnología!$K$4,0,1),0)</f>
        <v>0</v>
      </c>
      <c r="Q5" s="5">
        <f ca="1">IF(Q$2=0,IF(RAND()&lt;1-Tecnología!$K$4,0,1),0)</f>
        <v>1</v>
      </c>
      <c r="R5" s="5">
        <f ca="1">IF(R$2=0,IF(RAND()&lt;1-Tecnología!$K$4,0,1),0)</f>
        <v>0</v>
      </c>
      <c r="S5" s="5">
        <f ca="1">IF(S$2=0,IF(RAND()&lt;1-Tecnología!$K$4,0,1),0)</f>
        <v>0</v>
      </c>
      <c r="T5" s="5">
        <f ca="1">IF(T$2=0,IF(RAND()&lt;1-Tecnología!$K$4,0,1),0)</f>
        <v>0</v>
      </c>
      <c r="U5" s="5">
        <f ca="1">IF(U$2=0,IF(RAND()&lt;1-Tecnología!$K$4,0,1),0)</f>
        <v>0</v>
      </c>
      <c r="V5" s="5">
        <f ca="1">IF(V$2=0,IF(RAND()&lt;1-Tecnología!$K$4,0,1),0)</f>
        <v>0</v>
      </c>
    </row>
    <row r="6" spans="1:22" s="2" customFormat="1" x14ac:dyDescent="0.35">
      <c r="A6" s="1">
        <v>3</v>
      </c>
      <c r="C6" s="5">
        <f ca="1">IF(C$2=0,IF(RAND()&lt;1-Tecnología!$K$4,0,1),0)</f>
        <v>0</v>
      </c>
      <c r="D6" s="5">
        <f ca="1">IF(D$2=0,IF(RAND()&lt;1-Tecnología!$K$4,0,1),0)</f>
        <v>1</v>
      </c>
      <c r="E6" s="5">
        <f ca="1">IF(E$2=0,IF(RAND()&lt;1-Tecnología!$K$4,0,1),0)</f>
        <v>0</v>
      </c>
      <c r="F6" s="5">
        <f ca="1">IF(F$2=0,IF(RAND()&lt;1-Tecnología!$K$4,0,1),0)</f>
        <v>0</v>
      </c>
      <c r="G6" s="5">
        <f ca="1">IF(G$2=0,IF(RAND()&lt;1-Tecnología!$K$4,0,1),0)</f>
        <v>0</v>
      </c>
      <c r="H6" s="5">
        <f ca="1">IF(H$2=0,IF(RAND()&lt;1-Tecnología!$K$4,0,1),0)</f>
        <v>0</v>
      </c>
      <c r="I6" s="5">
        <f ca="1">IF(I$2=0,IF(RAND()&lt;1-Tecnología!$K$4,0,1),0)</f>
        <v>0</v>
      </c>
      <c r="J6" s="5">
        <f ca="1">IF(J$2=0,IF(RAND()&lt;1-Tecnología!$K$4,0,1),0)</f>
        <v>1</v>
      </c>
      <c r="K6" s="5">
        <f ca="1">IF(K$2=0,IF(RAND()&lt;1-Tecnología!$K$4,0,1),0)</f>
        <v>0</v>
      </c>
      <c r="L6" s="5">
        <f ca="1">IF(L$2=0,IF(RAND()&lt;1-Tecnología!$K$4,0,1),0)</f>
        <v>1</v>
      </c>
      <c r="M6" s="5">
        <f ca="1">IF(M$2=0,IF(RAND()&lt;1-Tecnología!$K$4,0,1),0)</f>
        <v>0</v>
      </c>
      <c r="N6" s="5">
        <f ca="1">IF(N$2=0,IF(RAND()&lt;1-Tecnología!$K$4,0,1),0)</f>
        <v>1</v>
      </c>
      <c r="O6" s="5">
        <f ca="1">IF(O$2=0,IF(RAND()&lt;1-Tecnología!$K$4,0,1),0)</f>
        <v>0</v>
      </c>
      <c r="P6" s="5">
        <f ca="1">IF(P$2=0,IF(RAND()&lt;1-Tecnología!$K$4,0,1),0)</f>
        <v>0</v>
      </c>
      <c r="Q6" s="5">
        <f ca="1">IF(Q$2=0,IF(RAND()&lt;1-Tecnología!$K$4,0,1),0)</f>
        <v>0</v>
      </c>
      <c r="R6" s="5">
        <f ca="1">IF(R$2=0,IF(RAND()&lt;1-Tecnología!$K$4,0,1),0)</f>
        <v>0</v>
      </c>
      <c r="S6" s="5">
        <f ca="1">IF(S$2=0,IF(RAND()&lt;1-Tecnología!$K$4,0,1),0)</f>
        <v>0</v>
      </c>
      <c r="T6" s="5">
        <f ca="1">IF(T$2=0,IF(RAND()&lt;1-Tecnología!$K$4,0,1),0)</f>
        <v>0</v>
      </c>
      <c r="U6" s="5">
        <f ca="1">IF(U$2=0,IF(RAND()&lt;1-Tecnología!$K$4,0,1),0)</f>
        <v>0</v>
      </c>
      <c r="V6" s="5">
        <f ca="1">IF(V$2=0,IF(RAND()&lt;1-Tecnología!$K$4,0,1),0)</f>
        <v>0</v>
      </c>
    </row>
    <row r="7" spans="1:22" s="2" customFormat="1" x14ac:dyDescent="0.35">
      <c r="A7" s="1">
        <v>4</v>
      </c>
      <c r="C7" s="5">
        <f ca="1">IF(C$2=0,IF(RAND()&lt;1-Tecnología!$K$4,0,1),0)</f>
        <v>0</v>
      </c>
      <c r="D7" s="5">
        <f ca="1">IF(D$2=0,IF(RAND()&lt;1-Tecnología!$K$4,0,1),0)</f>
        <v>0</v>
      </c>
      <c r="E7" s="5">
        <f ca="1">IF(E$2=0,IF(RAND()&lt;1-Tecnología!$K$4,0,1),0)</f>
        <v>1</v>
      </c>
      <c r="F7" s="5">
        <f ca="1">IF(F$2=0,IF(RAND()&lt;1-Tecnología!$K$4,0,1),0)</f>
        <v>0</v>
      </c>
      <c r="G7" s="5">
        <f ca="1">IF(G$2=0,IF(RAND()&lt;1-Tecnología!$K$4,0,1),0)</f>
        <v>0</v>
      </c>
      <c r="H7" s="5">
        <f ca="1">IF(H$2=0,IF(RAND()&lt;1-Tecnología!$K$4,0,1),0)</f>
        <v>0</v>
      </c>
      <c r="I7" s="5">
        <f ca="1">IF(I$2=0,IF(RAND()&lt;1-Tecnología!$K$4,0,1),0)</f>
        <v>1</v>
      </c>
      <c r="J7" s="5">
        <f ca="1">IF(J$2=0,IF(RAND()&lt;1-Tecnología!$K$4,0,1),0)</f>
        <v>1</v>
      </c>
      <c r="K7" s="5">
        <f ca="1">IF(K$2=0,IF(RAND()&lt;1-Tecnología!$K$4,0,1),0)</f>
        <v>0</v>
      </c>
      <c r="L7" s="5">
        <f ca="1">IF(L$2=0,IF(RAND()&lt;1-Tecnología!$K$4,0,1),0)</f>
        <v>0</v>
      </c>
      <c r="M7" s="5">
        <f ca="1">IF(M$2=0,IF(RAND()&lt;1-Tecnología!$K$4,0,1),0)</f>
        <v>1</v>
      </c>
      <c r="N7" s="5">
        <f ca="1">IF(N$2=0,IF(RAND()&lt;1-Tecnología!$K$4,0,1),0)</f>
        <v>0</v>
      </c>
      <c r="O7" s="5">
        <f ca="1">IF(O$2=0,IF(RAND()&lt;1-Tecnología!$K$4,0,1),0)</f>
        <v>0</v>
      </c>
      <c r="P7" s="5">
        <f ca="1">IF(P$2=0,IF(RAND()&lt;1-Tecnología!$K$4,0,1),0)</f>
        <v>0</v>
      </c>
      <c r="Q7" s="5">
        <f ca="1">IF(Q$2=0,IF(RAND()&lt;1-Tecnología!$K$4,0,1),0)</f>
        <v>1</v>
      </c>
      <c r="R7" s="5">
        <f ca="1">IF(R$2=0,IF(RAND()&lt;1-Tecnología!$K$4,0,1),0)</f>
        <v>1</v>
      </c>
      <c r="S7" s="5">
        <f ca="1">IF(S$2=0,IF(RAND()&lt;1-Tecnología!$K$4,0,1),0)</f>
        <v>0</v>
      </c>
      <c r="T7" s="5">
        <f ca="1">IF(T$2=0,IF(RAND()&lt;1-Tecnología!$K$4,0,1),0)</f>
        <v>1</v>
      </c>
      <c r="U7" s="5">
        <f ca="1">IF(U$2=0,IF(RAND()&lt;1-Tecnología!$K$4,0,1),0)</f>
        <v>1</v>
      </c>
      <c r="V7" s="5">
        <f ca="1">IF(V$2=0,IF(RAND()&lt;1-Tecnología!$K$4,0,1),0)</f>
        <v>0</v>
      </c>
    </row>
    <row r="8" spans="1:22" s="2" customFormat="1" x14ac:dyDescent="0.35">
      <c r="A8" s="1">
        <v>5</v>
      </c>
      <c r="C8" s="5">
        <f ca="1">IF(C$2=0,IF(RAND()&lt;1-Tecnología!$K$4,0,1),0)</f>
        <v>0</v>
      </c>
      <c r="D8" s="5">
        <f ca="1">IF(D$2=0,IF(RAND()&lt;1-Tecnología!$K$4,0,1),0)</f>
        <v>0</v>
      </c>
      <c r="E8" s="5">
        <f ca="1">IF(E$2=0,IF(RAND()&lt;1-Tecnología!$K$4,0,1),0)</f>
        <v>1</v>
      </c>
      <c r="F8" s="5">
        <f ca="1">IF(F$2=0,IF(RAND()&lt;1-Tecnología!$K$4,0,1),0)</f>
        <v>0</v>
      </c>
      <c r="G8" s="5">
        <f ca="1">IF(G$2=0,IF(RAND()&lt;1-Tecnología!$K$4,0,1),0)</f>
        <v>0</v>
      </c>
      <c r="H8" s="5">
        <f ca="1">IF(H$2=0,IF(RAND()&lt;1-Tecnología!$K$4,0,1),0)</f>
        <v>1</v>
      </c>
      <c r="I8" s="5">
        <f ca="1">IF(I$2=0,IF(RAND()&lt;1-Tecnología!$K$4,0,1),0)</f>
        <v>0</v>
      </c>
      <c r="J8" s="5">
        <f ca="1">IF(J$2=0,IF(RAND()&lt;1-Tecnología!$K$4,0,1),0)</f>
        <v>1</v>
      </c>
      <c r="K8" s="5">
        <f ca="1">IF(K$2=0,IF(RAND()&lt;1-Tecnología!$K$4,0,1),0)</f>
        <v>0</v>
      </c>
      <c r="L8" s="5">
        <f ca="1">IF(L$2=0,IF(RAND()&lt;1-Tecnología!$K$4,0,1),0)</f>
        <v>0</v>
      </c>
      <c r="M8" s="5">
        <f ca="1">IF(M$2=0,IF(RAND()&lt;1-Tecnología!$K$4,0,1),0)</f>
        <v>0</v>
      </c>
      <c r="N8" s="5">
        <f ca="1">IF(N$2=0,IF(RAND()&lt;1-Tecnología!$K$4,0,1),0)</f>
        <v>0</v>
      </c>
      <c r="O8" s="5">
        <f ca="1">IF(O$2=0,IF(RAND()&lt;1-Tecnología!$K$4,0,1),0)</f>
        <v>0</v>
      </c>
      <c r="P8" s="5">
        <f ca="1">IF(P$2=0,IF(RAND()&lt;1-Tecnología!$K$4,0,1),0)</f>
        <v>0</v>
      </c>
      <c r="Q8" s="5">
        <f ca="1">IF(Q$2=0,IF(RAND()&lt;1-Tecnología!$K$4,0,1),0)</f>
        <v>0</v>
      </c>
      <c r="R8" s="5">
        <f ca="1">IF(R$2=0,IF(RAND()&lt;1-Tecnología!$K$4,0,1),0)</f>
        <v>1</v>
      </c>
      <c r="S8" s="5">
        <f ca="1">IF(S$2=0,IF(RAND()&lt;1-Tecnología!$K$4,0,1),0)</f>
        <v>0</v>
      </c>
      <c r="T8" s="5">
        <f ca="1">IF(T$2=0,IF(RAND()&lt;1-Tecnología!$K$4,0,1),0)</f>
        <v>0</v>
      </c>
      <c r="U8" s="5">
        <f ca="1">IF(U$2=0,IF(RAND()&lt;1-Tecnología!$K$4,0,1),0)</f>
        <v>0</v>
      </c>
      <c r="V8" s="5">
        <f ca="1">IF(V$2=0,IF(RAND()&lt;1-Tecnología!$K$4,0,1),0)</f>
        <v>0</v>
      </c>
    </row>
    <row r="9" spans="1:22" s="2" customFormat="1" x14ac:dyDescent="0.35">
      <c r="A9" s="1">
        <v>6</v>
      </c>
      <c r="C9" s="5">
        <f ca="1">IF(C$2=0,IF(RAND()&lt;1-Tecnología!$K$4,0,1),0)</f>
        <v>0</v>
      </c>
      <c r="D9" s="5">
        <f ca="1">IF(D$2=0,IF(RAND()&lt;1-Tecnología!$K$4,0,1),0)</f>
        <v>1</v>
      </c>
      <c r="E9" s="5">
        <f ca="1">IF(E$2=0,IF(RAND()&lt;1-Tecnología!$K$4,0,1),0)</f>
        <v>0</v>
      </c>
      <c r="F9" s="5">
        <f ca="1">IF(F$2=0,IF(RAND()&lt;1-Tecnología!$K$4,0,1),0)</f>
        <v>0</v>
      </c>
      <c r="G9" s="5">
        <f ca="1">IF(G$2=0,IF(RAND()&lt;1-Tecnología!$K$4,0,1),0)</f>
        <v>0</v>
      </c>
      <c r="H9" s="5">
        <f ca="1">IF(H$2=0,IF(RAND()&lt;1-Tecnología!$K$4,0,1),0)</f>
        <v>0</v>
      </c>
      <c r="I9" s="5">
        <f ca="1">IF(I$2=0,IF(RAND()&lt;1-Tecnología!$K$4,0,1),0)</f>
        <v>0</v>
      </c>
      <c r="J9" s="5">
        <f ca="1">IF(J$2=0,IF(RAND()&lt;1-Tecnología!$K$4,0,1),0)</f>
        <v>0</v>
      </c>
      <c r="K9" s="5">
        <f ca="1">IF(K$2=0,IF(RAND()&lt;1-Tecnología!$K$4,0,1),0)</f>
        <v>0</v>
      </c>
      <c r="L9" s="5">
        <f ca="1">IF(L$2=0,IF(RAND()&lt;1-Tecnología!$K$4,0,1),0)</f>
        <v>0</v>
      </c>
      <c r="M9" s="5">
        <f ca="1">IF(M$2=0,IF(RAND()&lt;1-Tecnología!$K$4,0,1),0)</f>
        <v>0</v>
      </c>
      <c r="N9" s="5">
        <f ca="1">IF(N$2=0,IF(RAND()&lt;1-Tecnología!$K$4,0,1),0)</f>
        <v>0</v>
      </c>
      <c r="O9" s="5">
        <f ca="1">IF(O$2=0,IF(RAND()&lt;1-Tecnología!$K$4,0,1),0)</f>
        <v>0</v>
      </c>
      <c r="P9" s="5">
        <f ca="1">IF(P$2=0,IF(RAND()&lt;1-Tecnología!$K$4,0,1),0)</f>
        <v>1</v>
      </c>
      <c r="Q9" s="5">
        <f ca="1">IF(Q$2=0,IF(RAND()&lt;1-Tecnología!$K$4,0,1),0)</f>
        <v>1</v>
      </c>
      <c r="R9" s="5">
        <f ca="1">IF(R$2=0,IF(RAND()&lt;1-Tecnología!$K$4,0,1),0)</f>
        <v>0</v>
      </c>
      <c r="S9" s="5">
        <f ca="1">IF(S$2=0,IF(RAND()&lt;1-Tecnología!$K$4,0,1),0)</f>
        <v>0</v>
      </c>
      <c r="T9" s="5">
        <f ca="1">IF(T$2=0,IF(RAND()&lt;1-Tecnología!$K$4,0,1),0)</f>
        <v>1</v>
      </c>
      <c r="U9" s="5">
        <f ca="1">IF(U$2=0,IF(RAND()&lt;1-Tecnología!$K$4,0,1),0)</f>
        <v>0</v>
      </c>
      <c r="V9" s="5">
        <f ca="1">IF(V$2=0,IF(RAND()&lt;1-Tecnología!$K$4,0,1),0)</f>
        <v>0</v>
      </c>
    </row>
    <row r="10" spans="1:22" s="2" customFormat="1" x14ac:dyDescent="0.35">
      <c r="A10" s="1">
        <v>7</v>
      </c>
      <c r="C10" s="5">
        <f ca="1">IF(C$2=0,IF(RAND()&lt;1-Tecnología!$K$4,0,1),0)</f>
        <v>0</v>
      </c>
      <c r="D10" s="5">
        <f ca="1">IF(D$2=0,IF(RAND()&lt;1-Tecnología!$K$4,0,1),0)</f>
        <v>0</v>
      </c>
      <c r="E10" s="5">
        <f ca="1">IF(E$2=0,IF(RAND()&lt;1-Tecnología!$K$4,0,1),0)</f>
        <v>0</v>
      </c>
      <c r="F10" s="5">
        <f ca="1">IF(F$2=0,IF(RAND()&lt;1-Tecnología!$K$4,0,1),0)</f>
        <v>1</v>
      </c>
      <c r="G10" s="5">
        <f ca="1">IF(G$2=0,IF(RAND()&lt;1-Tecnología!$K$4,0,1),0)</f>
        <v>0</v>
      </c>
      <c r="H10" s="5">
        <f ca="1">IF(H$2=0,IF(RAND()&lt;1-Tecnología!$K$4,0,1),0)</f>
        <v>1</v>
      </c>
      <c r="I10" s="5">
        <f ca="1">IF(I$2=0,IF(RAND()&lt;1-Tecnología!$K$4,0,1),0)</f>
        <v>0</v>
      </c>
      <c r="J10" s="5">
        <f ca="1">IF(J$2=0,IF(RAND()&lt;1-Tecnología!$K$4,0,1),0)</f>
        <v>0</v>
      </c>
      <c r="K10" s="5">
        <f ca="1">IF(K$2=0,IF(RAND()&lt;1-Tecnología!$K$4,0,1),0)</f>
        <v>0</v>
      </c>
      <c r="L10" s="5">
        <f ca="1">IF(L$2=0,IF(RAND()&lt;1-Tecnología!$K$4,0,1),0)</f>
        <v>1</v>
      </c>
      <c r="M10" s="5">
        <f ca="1">IF(M$2=0,IF(RAND()&lt;1-Tecnología!$K$4,0,1),0)</f>
        <v>0</v>
      </c>
      <c r="N10" s="5">
        <f ca="1">IF(N$2=0,IF(RAND()&lt;1-Tecnología!$K$4,0,1),0)</f>
        <v>0</v>
      </c>
      <c r="O10" s="5">
        <f ca="1">IF(O$2=0,IF(RAND()&lt;1-Tecnología!$K$4,0,1),0)</f>
        <v>0</v>
      </c>
      <c r="P10" s="5">
        <f ca="1">IF(P$2=0,IF(RAND()&lt;1-Tecnología!$K$4,0,1),0)</f>
        <v>0</v>
      </c>
      <c r="Q10" s="5">
        <f ca="1">IF(Q$2=0,IF(RAND()&lt;1-Tecnología!$K$4,0,1),0)</f>
        <v>0</v>
      </c>
      <c r="R10" s="5">
        <f ca="1">IF(R$2=0,IF(RAND()&lt;1-Tecnología!$K$4,0,1),0)</f>
        <v>0</v>
      </c>
      <c r="S10" s="5">
        <f ca="1">IF(S$2=0,IF(RAND()&lt;1-Tecnología!$K$4,0,1),0)</f>
        <v>0</v>
      </c>
      <c r="T10" s="5">
        <f ca="1">IF(T$2=0,IF(RAND()&lt;1-Tecnología!$K$4,0,1),0)</f>
        <v>0</v>
      </c>
      <c r="U10" s="5">
        <f ca="1">IF(U$2=0,IF(RAND()&lt;1-Tecnología!$K$4,0,1),0)</f>
        <v>1</v>
      </c>
      <c r="V10" s="5">
        <f ca="1">IF(V$2=0,IF(RAND()&lt;1-Tecnología!$K$4,0,1),0)</f>
        <v>0</v>
      </c>
    </row>
    <row r="11" spans="1:22" s="2" customFormat="1" x14ac:dyDescent="0.35">
      <c r="A11" s="1">
        <v>8</v>
      </c>
      <c r="C11" s="5">
        <f ca="1">IF(C$2=0,IF(RAND()&lt;1-Tecnología!$K$4,0,1),0)</f>
        <v>0</v>
      </c>
      <c r="D11" s="5">
        <f ca="1">IF(D$2=0,IF(RAND()&lt;1-Tecnología!$K$4,0,1),0)</f>
        <v>1</v>
      </c>
      <c r="E11" s="5">
        <f ca="1">IF(E$2=0,IF(RAND()&lt;1-Tecnología!$K$4,0,1),0)</f>
        <v>0</v>
      </c>
      <c r="F11" s="5">
        <f ca="1">IF(F$2=0,IF(RAND()&lt;1-Tecnología!$K$4,0,1),0)</f>
        <v>0</v>
      </c>
      <c r="G11" s="5">
        <f ca="1">IF(G$2=0,IF(RAND()&lt;1-Tecnología!$K$4,0,1),0)</f>
        <v>0</v>
      </c>
      <c r="H11" s="5">
        <f ca="1">IF(H$2=0,IF(RAND()&lt;1-Tecnología!$K$4,0,1),0)</f>
        <v>0</v>
      </c>
      <c r="I11" s="5">
        <f ca="1">IF(I$2=0,IF(RAND()&lt;1-Tecnología!$K$4,0,1),0)</f>
        <v>1</v>
      </c>
      <c r="J11" s="5">
        <f ca="1">IF(J$2=0,IF(RAND()&lt;1-Tecnología!$K$4,0,1),0)</f>
        <v>1</v>
      </c>
      <c r="K11" s="5">
        <f ca="1">IF(K$2=0,IF(RAND()&lt;1-Tecnología!$K$4,0,1),0)</f>
        <v>0</v>
      </c>
      <c r="L11" s="5">
        <f ca="1">IF(L$2=0,IF(RAND()&lt;1-Tecnología!$K$4,0,1),0)</f>
        <v>0</v>
      </c>
      <c r="M11" s="5">
        <f ca="1">IF(M$2=0,IF(RAND()&lt;1-Tecnología!$K$4,0,1),0)</f>
        <v>1</v>
      </c>
      <c r="N11" s="5">
        <f ca="1">IF(N$2=0,IF(RAND()&lt;1-Tecnología!$K$4,0,1),0)</f>
        <v>0</v>
      </c>
      <c r="O11" s="5">
        <f ca="1">IF(O$2=0,IF(RAND()&lt;1-Tecnología!$K$4,0,1),0)</f>
        <v>0</v>
      </c>
      <c r="P11" s="5">
        <f ca="1">IF(P$2=0,IF(RAND()&lt;1-Tecnología!$K$4,0,1),0)</f>
        <v>0</v>
      </c>
      <c r="Q11" s="5">
        <f ca="1">IF(Q$2=0,IF(RAND()&lt;1-Tecnología!$K$4,0,1),0)</f>
        <v>0</v>
      </c>
      <c r="R11" s="5">
        <f ca="1">IF(R$2=0,IF(RAND()&lt;1-Tecnología!$K$4,0,1),0)</f>
        <v>0</v>
      </c>
      <c r="S11" s="5">
        <f ca="1">IF(S$2=0,IF(RAND()&lt;1-Tecnología!$K$4,0,1),0)</f>
        <v>0</v>
      </c>
      <c r="T11" s="5">
        <f ca="1">IF(T$2=0,IF(RAND()&lt;1-Tecnología!$K$4,0,1),0)</f>
        <v>0</v>
      </c>
      <c r="U11" s="5">
        <f ca="1">IF(U$2=0,IF(RAND()&lt;1-Tecnología!$K$4,0,1),0)</f>
        <v>1</v>
      </c>
      <c r="V11" s="5">
        <f ca="1">IF(V$2=0,IF(RAND()&lt;1-Tecnología!$K$4,0,1),0)</f>
        <v>1</v>
      </c>
    </row>
    <row r="12" spans="1:22" s="2" customFormat="1" x14ac:dyDescent="0.35">
      <c r="A12" s="1">
        <v>9</v>
      </c>
      <c r="C12" s="5">
        <f ca="1">IF(C$2=0,IF(RAND()&lt;1-Tecnología!$K$4,0,1),0)</f>
        <v>0</v>
      </c>
      <c r="D12" s="5">
        <f ca="1">IF(D$2=0,IF(RAND()&lt;1-Tecnología!$K$4,0,1),0)</f>
        <v>1</v>
      </c>
      <c r="E12" s="5">
        <f ca="1">IF(E$2=0,IF(RAND()&lt;1-Tecnología!$K$4,0,1),0)</f>
        <v>0</v>
      </c>
      <c r="F12" s="5">
        <f ca="1">IF(F$2=0,IF(RAND()&lt;1-Tecnología!$K$4,0,1),0)</f>
        <v>0</v>
      </c>
      <c r="G12" s="5">
        <f ca="1">IF(G$2=0,IF(RAND()&lt;1-Tecnología!$K$4,0,1),0)</f>
        <v>0</v>
      </c>
      <c r="H12" s="5">
        <f ca="1">IF(H$2=0,IF(RAND()&lt;1-Tecnología!$K$4,0,1),0)</f>
        <v>0</v>
      </c>
      <c r="I12" s="5">
        <f ca="1">IF(I$2=0,IF(RAND()&lt;1-Tecnología!$K$4,0,1),0)</f>
        <v>0</v>
      </c>
      <c r="J12" s="5">
        <f ca="1">IF(J$2=0,IF(RAND()&lt;1-Tecnología!$K$4,0,1),0)</f>
        <v>0</v>
      </c>
      <c r="K12" s="5">
        <f ca="1">IF(K$2=0,IF(RAND()&lt;1-Tecnología!$K$4,0,1),0)</f>
        <v>0</v>
      </c>
      <c r="L12" s="5">
        <f ca="1">IF(L$2=0,IF(RAND()&lt;1-Tecnología!$K$4,0,1),0)</f>
        <v>0</v>
      </c>
      <c r="M12" s="5">
        <f ca="1">IF(M$2=0,IF(RAND()&lt;1-Tecnología!$K$4,0,1),0)</f>
        <v>1</v>
      </c>
      <c r="N12" s="5">
        <f ca="1">IF(N$2=0,IF(RAND()&lt;1-Tecnología!$K$4,0,1),0)</f>
        <v>0</v>
      </c>
      <c r="O12" s="5">
        <f ca="1">IF(O$2=0,IF(RAND()&lt;1-Tecnología!$K$4,0,1),0)</f>
        <v>0</v>
      </c>
      <c r="P12" s="5">
        <f ca="1">IF(P$2=0,IF(RAND()&lt;1-Tecnología!$K$4,0,1),0)</f>
        <v>1</v>
      </c>
      <c r="Q12" s="5">
        <f ca="1">IF(Q$2=0,IF(RAND()&lt;1-Tecnología!$K$4,0,1),0)</f>
        <v>0</v>
      </c>
      <c r="R12" s="5">
        <f ca="1">IF(R$2=0,IF(RAND()&lt;1-Tecnología!$K$4,0,1),0)</f>
        <v>0</v>
      </c>
      <c r="S12" s="5">
        <f ca="1">IF(S$2=0,IF(RAND()&lt;1-Tecnología!$K$4,0,1),0)</f>
        <v>0</v>
      </c>
      <c r="T12" s="5">
        <f ca="1">IF(T$2=0,IF(RAND()&lt;1-Tecnología!$K$4,0,1),0)</f>
        <v>1</v>
      </c>
      <c r="U12" s="5">
        <f ca="1">IF(U$2=0,IF(RAND()&lt;1-Tecnología!$K$4,0,1),0)</f>
        <v>0</v>
      </c>
      <c r="V12" s="5">
        <f ca="1">IF(V$2=0,IF(RAND()&lt;1-Tecnología!$K$4,0,1),0)</f>
        <v>0</v>
      </c>
    </row>
    <row r="13" spans="1:22" s="2" customFormat="1" x14ac:dyDescent="0.35">
      <c r="A13" s="1">
        <v>10</v>
      </c>
      <c r="C13" s="5">
        <f ca="1">IF(C$2=0,IF(RAND()&lt;1-Tecnología!$K$4,0,1),0)</f>
        <v>0</v>
      </c>
      <c r="D13" s="5">
        <f ca="1">IF(D$2=0,IF(RAND()&lt;1-Tecnología!$K$4,0,1),0)</f>
        <v>0</v>
      </c>
      <c r="E13" s="5">
        <f ca="1">IF(E$2=0,IF(RAND()&lt;1-Tecnología!$K$4,0,1),0)</f>
        <v>0</v>
      </c>
      <c r="F13" s="5">
        <f ca="1">IF(F$2=0,IF(RAND()&lt;1-Tecnología!$K$4,0,1),0)</f>
        <v>0</v>
      </c>
      <c r="G13" s="5">
        <f ca="1">IF(G$2=0,IF(RAND()&lt;1-Tecnología!$K$4,0,1),0)</f>
        <v>0</v>
      </c>
      <c r="H13" s="5">
        <f ca="1">IF(H$2=0,IF(RAND()&lt;1-Tecnología!$K$4,0,1),0)</f>
        <v>0</v>
      </c>
      <c r="I13" s="5">
        <f ca="1">IF(I$2=0,IF(RAND()&lt;1-Tecnología!$K$4,0,1),0)</f>
        <v>0</v>
      </c>
      <c r="J13" s="5">
        <f ca="1">IF(J$2=0,IF(RAND()&lt;1-Tecnología!$K$4,0,1),0)</f>
        <v>1</v>
      </c>
      <c r="K13" s="5">
        <f ca="1">IF(K$2=0,IF(RAND()&lt;1-Tecnología!$K$4,0,1),0)</f>
        <v>0</v>
      </c>
      <c r="L13" s="5">
        <f ca="1">IF(L$2=0,IF(RAND()&lt;1-Tecnología!$K$4,0,1),0)</f>
        <v>1</v>
      </c>
      <c r="M13" s="5">
        <f ca="1">IF(M$2=0,IF(RAND()&lt;1-Tecnología!$K$4,0,1),0)</f>
        <v>0</v>
      </c>
      <c r="N13" s="5">
        <f ca="1">IF(N$2=0,IF(RAND()&lt;1-Tecnología!$K$4,0,1),0)</f>
        <v>0</v>
      </c>
      <c r="O13" s="5">
        <f ca="1">IF(O$2=0,IF(RAND()&lt;1-Tecnología!$K$4,0,1),0)</f>
        <v>0</v>
      </c>
      <c r="P13" s="5">
        <f ca="1">IF(P$2=0,IF(RAND()&lt;1-Tecnología!$K$4,0,1),0)</f>
        <v>0</v>
      </c>
      <c r="Q13" s="5">
        <f ca="1">IF(Q$2=0,IF(RAND()&lt;1-Tecnología!$K$4,0,1),0)</f>
        <v>0</v>
      </c>
      <c r="R13" s="5">
        <f ca="1">IF(R$2=0,IF(RAND()&lt;1-Tecnología!$K$4,0,1),0)</f>
        <v>1</v>
      </c>
      <c r="S13" s="5">
        <f ca="1">IF(S$2=0,IF(RAND()&lt;1-Tecnología!$K$4,0,1),0)</f>
        <v>0</v>
      </c>
      <c r="T13" s="5">
        <f ca="1">IF(T$2=0,IF(RAND()&lt;1-Tecnología!$K$4,0,1),0)</f>
        <v>0</v>
      </c>
      <c r="U13" s="5">
        <f ca="1">IF(U$2=0,IF(RAND()&lt;1-Tecnología!$K$4,0,1),0)</f>
        <v>0</v>
      </c>
      <c r="V13" s="5">
        <f ca="1">IF(V$2=0,IF(RAND()&lt;1-Tecnología!$K$4,0,1),0)</f>
        <v>0</v>
      </c>
    </row>
    <row r="14" spans="1:22" s="2" customFormat="1" x14ac:dyDescent="0.35">
      <c r="A14" s="1">
        <v>11</v>
      </c>
      <c r="C14" s="5">
        <f ca="1">IF(C$2=0,IF(RAND()&lt;1-Tecnología!$K$4,0,1),0)</f>
        <v>0</v>
      </c>
      <c r="D14" s="5">
        <f ca="1">IF(D$2=0,IF(RAND()&lt;1-Tecnología!$K$4,0,1),0)</f>
        <v>0</v>
      </c>
      <c r="E14" s="5">
        <f ca="1">IF(E$2=0,IF(RAND()&lt;1-Tecnología!$K$4,0,1),0)</f>
        <v>1</v>
      </c>
      <c r="F14" s="5">
        <f ca="1">IF(F$2=0,IF(RAND()&lt;1-Tecnología!$K$4,0,1),0)</f>
        <v>1</v>
      </c>
      <c r="G14" s="5">
        <f ca="1">IF(G$2=0,IF(RAND()&lt;1-Tecnología!$K$4,0,1),0)</f>
        <v>0</v>
      </c>
      <c r="H14" s="5">
        <f ca="1">IF(H$2=0,IF(RAND()&lt;1-Tecnología!$K$4,0,1),0)</f>
        <v>0</v>
      </c>
      <c r="I14" s="5">
        <f ca="1">IF(I$2=0,IF(RAND()&lt;1-Tecnología!$K$4,0,1),0)</f>
        <v>0</v>
      </c>
      <c r="J14" s="5">
        <f ca="1">IF(J$2=0,IF(RAND()&lt;1-Tecnología!$K$4,0,1),0)</f>
        <v>1</v>
      </c>
      <c r="K14" s="5">
        <f ca="1">IF(K$2=0,IF(RAND()&lt;1-Tecnología!$K$4,0,1),0)</f>
        <v>0</v>
      </c>
      <c r="L14" s="5">
        <f ca="1">IF(L$2=0,IF(RAND()&lt;1-Tecnología!$K$4,0,1),0)</f>
        <v>0</v>
      </c>
      <c r="M14" s="5">
        <f ca="1">IF(M$2=0,IF(RAND()&lt;1-Tecnología!$K$4,0,1),0)</f>
        <v>0</v>
      </c>
      <c r="N14" s="5">
        <f ca="1">IF(N$2=0,IF(RAND()&lt;1-Tecnología!$K$4,0,1),0)</f>
        <v>1</v>
      </c>
      <c r="O14" s="5">
        <f ca="1">IF(O$2=0,IF(RAND()&lt;1-Tecnología!$K$4,0,1),0)</f>
        <v>0</v>
      </c>
      <c r="P14" s="5">
        <f ca="1">IF(P$2=0,IF(RAND()&lt;1-Tecnología!$K$4,0,1),0)</f>
        <v>0</v>
      </c>
      <c r="Q14" s="5">
        <f ca="1">IF(Q$2=0,IF(RAND()&lt;1-Tecnología!$K$4,0,1),0)</f>
        <v>0</v>
      </c>
      <c r="R14" s="5">
        <f ca="1">IF(R$2=0,IF(RAND()&lt;1-Tecnología!$K$4,0,1),0)</f>
        <v>1</v>
      </c>
      <c r="S14" s="5">
        <f ca="1">IF(S$2=0,IF(RAND()&lt;1-Tecnología!$K$4,0,1),0)</f>
        <v>0</v>
      </c>
      <c r="T14" s="5">
        <f ca="1">IF(T$2=0,IF(RAND()&lt;1-Tecnología!$K$4,0,1),0)</f>
        <v>0</v>
      </c>
      <c r="U14" s="5">
        <f ca="1">IF(U$2=0,IF(RAND()&lt;1-Tecnología!$K$4,0,1),0)</f>
        <v>0</v>
      </c>
      <c r="V14" s="5">
        <f ca="1">IF(V$2=0,IF(RAND()&lt;1-Tecnología!$K$4,0,1),0)</f>
        <v>0</v>
      </c>
    </row>
    <row r="15" spans="1:22" s="2" customFormat="1" x14ac:dyDescent="0.35">
      <c r="A15" s="1">
        <v>12</v>
      </c>
      <c r="C15" s="5">
        <f ca="1">IF(C$2=0,IF(RAND()&lt;1-Tecnología!$K$4,0,1),0)</f>
        <v>0</v>
      </c>
      <c r="D15" s="5">
        <f ca="1">IF(D$2=0,IF(RAND()&lt;1-Tecnología!$K$4,0,1),0)</f>
        <v>1</v>
      </c>
      <c r="E15" s="5">
        <f ca="1">IF(E$2=0,IF(RAND()&lt;1-Tecnología!$K$4,0,1),0)</f>
        <v>0</v>
      </c>
      <c r="F15" s="5">
        <f ca="1">IF(F$2=0,IF(RAND()&lt;1-Tecnología!$K$4,0,1),0)</f>
        <v>0</v>
      </c>
      <c r="G15" s="5">
        <f ca="1">IF(G$2=0,IF(RAND()&lt;1-Tecnología!$K$4,0,1),0)</f>
        <v>0</v>
      </c>
      <c r="H15" s="5">
        <f ca="1">IF(H$2=0,IF(RAND()&lt;1-Tecnología!$K$4,0,1),0)</f>
        <v>0</v>
      </c>
      <c r="I15" s="5">
        <f ca="1">IF(I$2=0,IF(RAND()&lt;1-Tecnología!$K$4,0,1),0)</f>
        <v>0</v>
      </c>
      <c r="J15" s="5">
        <f ca="1">IF(J$2=0,IF(RAND()&lt;1-Tecnología!$K$4,0,1),0)</f>
        <v>1</v>
      </c>
      <c r="K15" s="5">
        <f ca="1">IF(K$2=0,IF(RAND()&lt;1-Tecnología!$K$4,0,1),0)</f>
        <v>0</v>
      </c>
      <c r="L15" s="5">
        <f ca="1">IF(L$2=0,IF(RAND()&lt;1-Tecnología!$K$4,0,1),0)</f>
        <v>0</v>
      </c>
      <c r="M15" s="5">
        <f ca="1">IF(M$2=0,IF(RAND()&lt;1-Tecnología!$K$4,0,1),0)</f>
        <v>0</v>
      </c>
      <c r="N15" s="5">
        <f ca="1">IF(N$2=0,IF(RAND()&lt;1-Tecnología!$K$4,0,1),0)</f>
        <v>1</v>
      </c>
      <c r="O15" s="5">
        <f ca="1">IF(O$2=0,IF(RAND()&lt;1-Tecnología!$K$4,0,1),0)</f>
        <v>0</v>
      </c>
      <c r="P15" s="5">
        <f ca="1">IF(P$2=0,IF(RAND()&lt;1-Tecnología!$K$4,0,1),0)</f>
        <v>0</v>
      </c>
      <c r="Q15" s="5">
        <f ca="1">IF(Q$2=0,IF(RAND()&lt;1-Tecnología!$K$4,0,1),0)</f>
        <v>1</v>
      </c>
      <c r="R15" s="5">
        <f ca="1">IF(R$2=0,IF(RAND()&lt;1-Tecnología!$K$4,0,1),0)</f>
        <v>1</v>
      </c>
      <c r="S15" s="5">
        <f ca="1">IF(S$2=0,IF(RAND()&lt;1-Tecnología!$K$4,0,1),0)</f>
        <v>0</v>
      </c>
      <c r="T15" s="5">
        <f ca="1">IF(T$2=0,IF(RAND()&lt;1-Tecnología!$K$4,0,1),0)</f>
        <v>1</v>
      </c>
      <c r="U15" s="5">
        <f ca="1">IF(U$2=0,IF(RAND()&lt;1-Tecnología!$K$4,0,1),0)</f>
        <v>0</v>
      </c>
      <c r="V15" s="5">
        <f ca="1">IF(V$2=0,IF(RAND()&lt;1-Tecnología!$K$4,0,1),0)</f>
        <v>1</v>
      </c>
    </row>
    <row r="16" spans="1:22" s="2" customFormat="1" x14ac:dyDescent="0.35">
      <c r="A16" s="1">
        <v>13</v>
      </c>
      <c r="C16" s="5">
        <f ca="1">IF(C$2=0,IF(RAND()&lt;1-Tecnología!$K$4,0,1),0)</f>
        <v>0</v>
      </c>
      <c r="D16" s="5">
        <f ca="1">IF(D$2=0,IF(RAND()&lt;1-Tecnología!$K$4,0,1),0)</f>
        <v>0</v>
      </c>
      <c r="E16" s="5">
        <f ca="1">IF(E$2=0,IF(RAND()&lt;1-Tecnología!$K$4,0,1),0)</f>
        <v>1</v>
      </c>
      <c r="F16" s="5">
        <f ca="1">IF(F$2=0,IF(RAND()&lt;1-Tecnología!$K$4,0,1),0)</f>
        <v>0</v>
      </c>
      <c r="G16" s="5">
        <f ca="1">IF(G$2=0,IF(RAND()&lt;1-Tecnología!$K$4,0,1),0)</f>
        <v>0</v>
      </c>
      <c r="H16" s="5">
        <f ca="1">IF(H$2=0,IF(RAND()&lt;1-Tecnología!$K$4,0,1),0)</f>
        <v>0</v>
      </c>
      <c r="I16" s="5">
        <f ca="1">IF(I$2=0,IF(RAND()&lt;1-Tecnología!$K$4,0,1),0)</f>
        <v>0</v>
      </c>
      <c r="J16" s="5">
        <f ca="1">IF(J$2=0,IF(RAND()&lt;1-Tecnología!$K$4,0,1),0)</f>
        <v>0</v>
      </c>
      <c r="K16" s="5">
        <f ca="1">IF(K$2=0,IF(RAND()&lt;1-Tecnología!$K$4,0,1),0)</f>
        <v>0</v>
      </c>
      <c r="L16" s="5">
        <f ca="1">IF(L$2=0,IF(RAND()&lt;1-Tecnología!$K$4,0,1),0)</f>
        <v>1</v>
      </c>
      <c r="M16" s="5">
        <f ca="1">IF(M$2=0,IF(RAND()&lt;1-Tecnología!$K$4,0,1),0)</f>
        <v>0</v>
      </c>
      <c r="N16" s="5">
        <f ca="1">IF(N$2=0,IF(RAND()&lt;1-Tecnología!$K$4,0,1),0)</f>
        <v>0</v>
      </c>
      <c r="O16" s="5">
        <f ca="1">IF(O$2=0,IF(RAND()&lt;1-Tecnología!$K$4,0,1),0)</f>
        <v>0</v>
      </c>
      <c r="P16" s="5">
        <f ca="1">IF(P$2=0,IF(RAND()&lt;1-Tecnología!$K$4,0,1),0)</f>
        <v>0</v>
      </c>
      <c r="Q16" s="5">
        <f ca="1">IF(Q$2=0,IF(RAND()&lt;1-Tecnología!$K$4,0,1),0)</f>
        <v>0</v>
      </c>
      <c r="R16" s="5">
        <f ca="1">IF(R$2=0,IF(RAND()&lt;1-Tecnología!$K$4,0,1),0)</f>
        <v>0</v>
      </c>
      <c r="S16" s="5">
        <f ca="1">IF(S$2=0,IF(RAND()&lt;1-Tecnología!$K$4,0,1),0)</f>
        <v>0</v>
      </c>
      <c r="T16" s="5">
        <f ca="1">IF(T$2=0,IF(RAND()&lt;1-Tecnología!$K$4,0,1),0)</f>
        <v>1</v>
      </c>
      <c r="U16" s="5">
        <f ca="1">IF(U$2=0,IF(RAND()&lt;1-Tecnología!$K$4,0,1),0)</f>
        <v>0</v>
      </c>
      <c r="V16" s="5">
        <f ca="1">IF(V$2=0,IF(RAND()&lt;1-Tecnología!$K$4,0,1),0)</f>
        <v>0</v>
      </c>
    </row>
    <row r="17" spans="1:22" s="2" customFormat="1" x14ac:dyDescent="0.35">
      <c r="A17" s="1">
        <v>14</v>
      </c>
      <c r="C17" s="5">
        <f ca="1">IF(C$2=0,IF(RAND()&lt;1-Tecnología!$K$4,0,1),0)</f>
        <v>0</v>
      </c>
      <c r="D17" s="5">
        <f ca="1">IF(D$2=0,IF(RAND()&lt;1-Tecnología!$K$4,0,1),0)</f>
        <v>0</v>
      </c>
      <c r="E17" s="5">
        <f ca="1">IF(E$2=0,IF(RAND()&lt;1-Tecnología!$K$4,0,1),0)</f>
        <v>0</v>
      </c>
      <c r="F17" s="5">
        <f ca="1">IF(F$2=0,IF(RAND()&lt;1-Tecnología!$K$4,0,1),0)</f>
        <v>1</v>
      </c>
      <c r="G17" s="5">
        <f ca="1">IF(G$2=0,IF(RAND()&lt;1-Tecnología!$K$4,0,1),0)</f>
        <v>0</v>
      </c>
      <c r="H17" s="5">
        <f ca="1">IF(H$2=0,IF(RAND()&lt;1-Tecnología!$K$4,0,1),0)</f>
        <v>0</v>
      </c>
      <c r="I17" s="5">
        <f ca="1">IF(I$2=0,IF(RAND()&lt;1-Tecnología!$K$4,0,1),0)</f>
        <v>1</v>
      </c>
      <c r="J17" s="5">
        <f ca="1">IF(J$2=0,IF(RAND()&lt;1-Tecnología!$K$4,0,1),0)</f>
        <v>1</v>
      </c>
      <c r="K17" s="5">
        <f ca="1">IF(K$2=0,IF(RAND()&lt;1-Tecnología!$K$4,0,1),0)</f>
        <v>0</v>
      </c>
      <c r="L17" s="5">
        <f ca="1">IF(L$2=0,IF(RAND()&lt;1-Tecnología!$K$4,0,1),0)</f>
        <v>0</v>
      </c>
      <c r="M17" s="5">
        <f ca="1">IF(M$2=0,IF(RAND()&lt;1-Tecnología!$K$4,0,1),0)</f>
        <v>0</v>
      </c>
      <c r="N17" s="5">
        <f ca="1">IF(N$2=0,IF(RAND()&lt;1-Tecnología!$K$4,0,1),0)</f>
        <v>0</v>
      </c>
      <c r="O17" s="5">
        <f ca="1">IF(O$2=0,IF(RAND()&lt;1-Tecnología!$K$4,0,1),0)</f>
        <v>0</v>
      </c>
      <c r="P17" s="5">
        <f ca="1">IF(P$2=0,IF(RAND()&lt;1-Tecnología!$K$4,0,1),0)</f>
        <v>0</v>
      </c>
      <c r="Q17" s="5">
        <f ca="1">IF(Q$2=0,IF(RAND()&lt;1-Tecnología!$K$4,0,1),0)</f>
        <v>0</v>
      </c>
      <c r="R17" s="5">
        <f ca="1">IF(R$2=0,IF(RAND()&lt;1-Tecnología!$K$4,0,1),0)</f>
        <v>0</v>
      </c>
      <c r="S17" s="5">
        <f ca="1">IF(S$2=0,IF(RAND()&lt;1-Tecnología!$K$4,0,1),0)</f>
        <v>0</v>
      </c>
      <c r="T17" s="5">
        <f ca="1">IF(T$2=0,IF(RAND()&lt;1-Tecnología!$K$4,0,1),0)</f>
        <v>0</v>
      </c>
      <c r="U17" s="5">
        <f ca="1">IF(U$2=0,IF(RAND()&lt;1-Tecnología!$K$4,0,1),0)</f>
        <v>1</v>
      </c>
      <c r="V17" s="5">
        <f ca="1">IF(V$2=0,IF(RAND()&lt;1-Tecnología!$K$4,0,1),0)</f>
        <v>1</v>
      </c>
    </row>
    <row r="18" spans="1:22" s="2" customFormat="1" x14ac:dyDescent="0.35">
      <c r="A18" s="1">
        <v>15</v>
      </c>
      <c r="C18" s="5">
        <f ca="1">IF(C$2=0,IF(RAND()&lt;1-Tecnología!$K$4,0,1),0)</f>
        <v>0</v>
      </c>
      <c r="D18" s="5">
        <f ca="1">IF(D$2=0,IF(RAND()&lt;1-Tecnología!$K$4,0,1),0)</f>
        <v>1</v>
      </c>
      <c r="E18" s="5">
        <f ca="1">IF(E$2=0,IF(RAND()&lt;1-Tecnología!$K$4,0,1),0)</f>
        <v>0</v>
      </c>
      <c r="F18" s="5">
        <f ca="1">IF(F$2=0,IF(RAND()&lt;1-Tecnología!$K$4,0,1),0)</f>
        <v>0</v>
      </c>
      <c r="G18" s="5">
        <f ca="1">IF(G$2=0,IF(RAND()&lt;1-Tecnología!$K$4,0,1),0)</f>
        <v>0</v>
      </c>
      <c r="H18" s="5">
        <f ca="1">IF(H$2=0,IF(RAND()&lt;1-Tecnología!$K$4,0,1),0)</f>
        <v>0</v>
      </c>
      <c r="I18" s="5">
        <f ca="1">IF(I$2=0,IF(RAND()&lt;1-Tecnología!$K$4,0,1),0)</f>
        <v>0</v>
      </c>
      <c r="J18" s="5">
        <f ca="1">IF(J$2=0,IF(RAND()&lt;1-Tecnología!$K$4,0,1),0)</f>
        <v>0</v>
      </c>
      <c r="K18" s="5">
        <f ca="1">IF(K$2=0,IF(RAND()&lt;1-Tecnología!$K$4,0,1),0)</f>
        <v>0</v>
      </c>
      <c r="L18" s="5">
        <f ca="1">IF(L$2=0,IF(RAND()&lt;1-Tecnología!$K$4,0,1),0)</f>
        <v>1</v>
      </c>
      <c r="M18" s="5">
        <f ca="1">IF(M$2=0,IF(RAND()&lt;1-Tecnología!$K$4,0,1),0)</f>
        <v>0</v>
      </c>
      <c r="N18" s="5">
        <f ca="1">IF(N$2=0,IF(RAND()&lt;1-Tecnología!$K$4,0,1),0)</f>
        <v>1</v>
      </c>
      <c r="O18" s="5">
        <f ca="1">IF(O$2=0,IF(RAND()&lt;1-Tecnología!$K$4,0,1),0)</f>
        <v>0</v>
      </c>
      <c r="P18" s="5">
        <f ca="1">IF(P$2=0,IF(RAND()&lt;1-Tecnología!$K$4,0,1),0)</f>
        <v>1</v>
      </c>
      <c r="Q18" s="5">
        <f ca="1">IF(Q$2=0,IF(RAND()&lt;1-Tecnología!$K$4,0,1),0)</f>
        <v>1</v>
      </c>
      <c r="R18" s="5">
        <f ca="1">IF(R$2=0,IF(RAND()&lt;1-Tecnología!$K$4,0,1),0)</f>
        <v>0</v>
      </c>
      <c r="S18" s="5">
        <f ca="1">IF(S$2=0,IF(RAND()&lt;1-Tecnología!$K$4,0,1),0)</f>
        <v>0</v>
      </c>
      <c r="T18" s="5">
        <f ca="1">IF(T$2=0,IF(RAND()&lt;1-Tecnología!$K$4,0,1),0)</f>
        <v>0</v>
      </c>
      <c r="U18" s="5">
        <f ca="1">IF(U$2=0,IF(RAND()&lt;1-Tecnología!$K$4,0,1),0)</f>
        <v>0</v>
      </c>
      <c r="V18" s="5">
        <f ca="1">IF(V$2=0,IF(RAND()&lt;1-Tecnología!$K$4,0,1),0)</f>
        <v>0</v>
      </c>
    </row>
    <row r="19" spans="1:22" s="2" customFormat="1" x14ac:dyDescent="0.35">
      <c r="A19" s="1">
        <v>16</v>
      </c>
      <c r="C19" s="5">
        <f ca="1">IF(C$2=0,IF(RAND()&lt;1-Tecnología!$K$4,0,1),0)</f>
        <v>0</v>
      </c>
      <c r="D19" s="5">
        <f ca="1">IF(D$2=0,IF(RAND()&lt;1-Tecnología!$K$4,0,1),0)</f>
        <v>0</v>
      </c>
      <c r="E19" s="5">
        <f ca="1">IF(E$2=0,IF(RAND()&lt;1-Tecnología!$K$4,0,1),0)</f>
        <v>0</v>
      </c>
      <c r="F19" s="5">
        <f ca="1">IF(F$2=0,IF(RAND()&lt;1-Tecnología!$K$4,0,1),0)</f>
        <v>1</v>
      </c>
      <c r="G19" s="5">
        <f ca="1">IF(G$2=0,IF(RAND()&lt;1-Tecnología!$K$4,0,1),0)</f>
        <v>0</v>
      </c>
      <c r="H19" s="5">
        <f ca="1">IF(H$2=0,IF(RAND()&lt;1-Tecnología!$K$4,0,1),0)</f>
        <v>0</v>
      </c>
      <c r="I19" s="5">
        <f ca="1">IF(I$2=0,IF(RAND()&lt;1-Tecnología!$K$4,0,1),0)</f>
        <v>0</v>
      </c>
      <c r="J19" s="5">
        <f ca="1">IF(J$2=0,IF(RAND()&lt;1-Tecnología!$K$4,0,1),0)</f>
        <v>0</v>
      </c>
      <c r="K19" s="5">
        <f ca="1">IF(K$2=0,IF(RAND()&lt;1-Tecnología!$K$4,0,1),0)</f>
        <v>0</v>
      </c>
      <c r="L19" s="5">
        <f ca="1">IF(L$2=0,IF(RAND()&lt;1-Tecnología!$K$4,0,1),0)</f>
        <v>0</v>
      </c>
      <c r="M19" s="5">
        <f ca="1">IF(M$2=0,IF(RAND()&lt;1-Tecnología!$K$4,0,1),0)</f>
        <v>0</v>
      </c>
      <c r="N19" s="5">
        <f ca="1">IF(N$2=0,IF(RAND()&lt;1-Tecnología!$K$4,0,1),0)</f>
        <v>1</v>
      </c>
      <c r="O19" s="5">
        <f ca="1">IF(O$2=0,IF(RAND()&lt;1-Tecnología!$K$4,0,1),0)</f>
        <v>0</v>
      </c>
      <c r="P19" s="5">
        <f ca="1">IF(P$2=0,IF(RAND()&lt;1-Tecnología!$K$4,0,1),0)</f>
        <v>0</v>
      </c>
      <c r="Q19" s="5">
        <f ca="1">IF(Q$2=0,IF(RAND()&lt;1-Tecnología!$K$4,0,1),0)</f>
        <v>1</v>
      </c>
      <c r="R19" s="5">
        <f ca="1">IF(R$2=0,IF(RAND()&lt;1-Tecnología!$K$4,0,1),0)</f>
        <v>0</v>
      </c>
      <c r="S19" s="5">
        <f ca="1">IF(S$2=0,IF(RAND()&lt;1-Tecnología!$K$4,0,1),0)</f>
        <v>0</v>
      </c>
      <c r="T19" s="5">
        <f ca="1">IF(T$2=0,IF(RAND()&lt;1-Tecnología!$K$4,0,1),0)</f>
        <v>0</v>
      </c>
      <c r="U19" s="5">
        <f ca="1">IF(U$2=0,IF(RAND()&lt;1-Tecnología!$K$4,0,1),0)</f>
        <v>0</v>
      </c>
      <c r="V19" s="5">
        <f ca="1">IF(V$2=0,IF(RAND()&lt;1-Tecnología!$K$4,0,1),0)</f>
        <v>1</v>
      </c>
    </row>
    <row r="20" spans="1:22" s="2" customFormat="1" x14ac:dyDescent="0.35">
      <c r="A20" s="1">
        <v>17</v>
      </c>
      <c r="C20" s="5">
        <f ca="1">IF(C$2=0,IF(RAND()&lt;1-Tecnología!$K$4,0,1),0)</f>
        <v>0</v>
      </c>
      <c r="D20" s="5">
        <f ca="1">IF(D$2=0,IF(RAND()&lt;1-Tecnología!$K$4,0,1),0)</f>
        <v>0</v>
      </c>
      <c r="E20" s="5">
        <f ca="1">IF(E$2=0,IF(RAND()&lt;1-Tecnología!$K$4,0,1),0)</f>
        <v>1</v>
      </c>
      <c r="F20" s="5">
        <f ca="1">IF(F$2=0,IF(RAND()&lt;1-Tecnología!$K$4,0,1),0)</f>
        <v>0</v>
      </c>
      <c r="G20" s="5">
        <f ca="1">IF(G$2=0,IF(RAND()&lt;1-Tecnología!$K$4,0,1),0)</f>
        <v>0</v>
      </c>
      <c r="H20" s="5">
        <f ca="1">IF(H$2=0,IF(RAND()&lt;1-Tecnología!$K$4,0,1),0)</f>
        <v>0</v>
      </c>
      <c r="I20" s="5">
        <f ca="1">IF(I$2=0,IF(RAND()&lt;1-Tecnología!$K$4,0,1),0)</f>
        <v>0</v>
      </c>
      <c r="J20" s="5">
        <f ca="1">IF(J$2=0,IF(RAND()&lt;1-Tecnología!$K$4,0,1),0)</f>
        <v>1</v>
      </c>
      <c r="K20" s="5">
        <f ca="1">IF(K$2=0,IF(RAND()&lt;1-Tecnología!$K$4,0,1),0)</f>
        <v>0</v>
      </c>
      <c r="L20" s="5">
        <f ca="1">IF(L$2=0,IF(RAND()&lt;1-Tecnología!$K$4,0,1),0)</f>
        <v>0</v>
      </c>
      <c r="M20" s="5">
        <f ca="1">IF(M$2=0,IF(RAND()&lt;1-Tecnología!$K$4,0,1),0)</f>
        <v>1</v>
      </c>
      <c r="N20" s="5">
        <f ca="1">IF(N$2=0,IF(RAND()&lt;1-Tecnología!$K$4,0,1),0)</f>
        <v>1</v>
      </c>
      <c r="O20" s="5">
        <f ca="1">IF(O$2=0,IF(RAND()&lt;1-Tecnología!$K$4,0,1),0)</f>
        <v>0</v>
      </c>
      <c r="P20" s="5">
        <f ca="1">IF(P$2=0,IF(RAND()&lt;1-Tecnología!$K$4,0,1),0)</f>
        <v>1</v>
      </c>
      <c r="Q20" s="5">
        <f ca="1">IF(Q$2=0,IF(RAND()&lt;1-Tecnología!$K$4,0,1),0)</f>
        <v>1</v>
      </c>
      <c r="R20" s="5">
        <f ca="1">IF(R$2=0,IF(RAND()&lt;1-Tecnología!$K$4,0,1),0)</f>
        <v>0</v>
      </c>
      <c r="S20" s="5">
        <f ca="1">IF(S$2=0,IF(RAND()&lt;1-Tecnología!$K$4,0,1),0)</f>
        <v>0</v>
      </c>
      <c r="T20" s="5">
        <f ca="1">IF(T$2=0,IF(RAND()&lt;1-Tecnología!$K$4,0,1),0)</f>
        <v>0</v>
      </c>
      <c r="U20" s="5">
        <f ca="1">IF(U$2=0,IF(RAND()&lt;1-Tecnología!$K$4,0,1),0)</f>
        <v>0</v>
      </c>
      <c r="V20" s="5">
        <f ca="1">IF(V$2=0,IF(RAND()&lt;1-Tecnología!$K$4,0,1),0)</f>
        <v>0</v>
      </c>
    </row>
    <row r="21" spans="1:22" s="2" customFormat="1" x14ac:dyDescent="0.35">
      <c r="A21" s="1">
        <v>18</v>
      </c>
      <c r="C21" s="5">
        <f ca="1">IF(C$2=0,IF(RAND()&lt;1-Tecnología!$K$4,0,1),0)</f>
        <v>0</v>
      </c>
      <c r="D21" s="5">
        <f ca="1">IF(D$2=0,IF(RAND()&lt;1-Tecnología!$K$4,0,1),0)</f>
        <v>0</v>
      </c>
      <c r="E21" s="5">
        <f ca="1">IF(E$2=0,IF(RAND()&lt;1-Tecnología!$K$4,0,1),0)</f>
        <v>1</v>
      </c>
      <c r="F21" s="5">
        <f ca="1">IF(F$2=0,IF(RAND()&lt;1-Tecnología!$K$4,0,1),0)</f>
        <v>0</v>
      </c>
      <c r="G21" s="5">
        <f ca="1">IF(G$2=0,IF(RAND()&lt;1-Tecnología!$K$4,0,1),0)</f>
        <v>0</v>
      </c>
      <c r="H21" s="5">
        <f ca="1">IF(H$2=0,IF(RAND()&lt;1-Tecnología!$K$4,0,1),0)</f>
        <v>1</v>
      </c>
      <c r="I21" s="5">
        <f ca="1">IF(I$2=0,IF(RAND()&lt;1-Tecnología!$K$4,0,1),0)</f>
        <v>0</v>
      </c>
      <c r="J21" s="5">
        <f ca="1">IF(J$2=0,IF(RAND()&lt;1-Tecnología!$K$4,0,1),0)</f>
        <v>1</v>
      </c>
      <c r="K21" s="5">
        <f ca="1">IF(K$2=0,IF(RAND()&lt;1-Tecnología!$K$4,0,1),0)</f>
        <v>0</v>
      </c>
      <c r="L21" s="5">
        <f ca="1">IF(L$2=0,IF(RAND()&lt;1-Tecnología!$K$4,0,1),0)</f>
        <v>1</v>
      </c>
      <c r="M21" s="5">
        <f ca="1">IF(M$2=0,IF(RAND()&lt;1-Tecnología!$K$4,0,1),0)</f>
        <v>0</v>
      </c>
      <c r="N21" s="5">
        <f ca="1">IF(N$2=0,IF(RAND()&lt;1-Tecnología!$K$4,0,1),0)</f>
        <v>1</v>
      </c>
      <c r="O21" s="5">
        <f ca="1">IF(O$2=0,IF(RAND()&lt;1-Tecnología!$K$4,0,1),0)</f>
        <v>0</v>
      </c>
      <c r="P21" s="5">
        <f ca="1">IF(P$2=0,IF(RAND()&lt;1-Tecnología!$K$4,0,1),0)</f>
        <v>0</v>
      </c>
      <c r="Q21" s="5">
        <f ca="1">IF(Q$2=0,IF(RAND()&lt;1-Tecnología!$K$4,0,1),0)</f>
        <v>1</v>
      </c>
      <c r="R21" s="5">
        <f ca="1">IF(R$2=0,IF(RAND()&lt;1-Tecnología!$K$4,0,1),0)</f>
        <v>0</v>
      </c>
      <c r="S21" s="5">
        <f ca="1">IF(S$2=0,IF(RAND()&lt;1-Tecnología!$K$4,0,1),0)</f>
        <v>0</v>
      </c>
      <c r="T21" s="5">
        <f ca="1">IF(T$2=0,IF(RAND()&lt;1-Tecnología!$K$4,0,1),0)</f>
        <v>0</v>
      </c>
      <c r="U21" s="5">
        <f ca="1">IF(U$2=0,IF(RAND()&lt;1-Tecnología!$K$4,0,1),0)</f>
        <v>0</v>
      </c>
      <c r="V21" s="5">
        <f ca="1">IF(V$2=0,IF(RAND()&lt;1-Tecnología!$K$4,0,1),0)</f>
        <v>1</v>
      </c>
    </row>
    <row r="22" spans="1:22" s="2" customFormat="1" x14ac:dyDescent="0.35">
      <c r="A22" s="1">
        <v>19</v>
      </c>
      <c r="C22" s="5">
        <f ca="1">IF(C$2=0,IF(RAND()&lt;1-Tecnología!$K$4,0,1),0)</f>
        <v>0</v>
      </c>
      <c r="D22" s="5">
        <f ca="1">IF(D$2=0,IF(RAND()&lt;1-Tecnología!$K$4,0,1),0)</f>
        <v>0</v>
      </c>
      <c r="E22" s="5">
        <f ca="1">IF(E$2=0,IF(RAND()&lt;1-Tecnología!$K$4,0,1),0)</f>
        <v>0</v>
      </c>
      <c r="F22" s="5">
        <f ca="1">IF(F$2=0,IF(RAND()&lt;1-Tecnología!$K$4,0,1),0)</f>
        <v>0</v>
      </c>
      <c r="G22" s="5">
        <f ca="1">IF(G$2=0,IF(RAND()&lt;1-Tecnología!$K$4,0,1),0)</f>
        <v>0</v>
      </c>
      <c r="H22" s="5">
        <f ca="1">IF(H$2=0,IF(RAND()&lt;1-Tecnología!$K$4,0,1),0)</f>
        <v>0</v>
      </c>
      <c r="I22" s="5">
        <f ca="1">IF(I$2=0,IF(RAND()&lt;1-Tecnología!$K$4,0,1),0)</f>
        <v>1</v>
      </c>
      <c r="J22" s="5">
        <f ca="1">IF(J$2=0,IF(RAND()&lt;1-Tecnología!$K$4,0,1),0)</f>
        <v>0</v>
      </c>
      <c r="K22" s="5">
        <f ca="1">IF(K$2=0,IF(RAND()&lt;1-Tecnología!$K$4,0,1),0)</f>
        <v>0</v>
      </c>
      <c r="L22" s="5">
        <f ca="1">IF(L$2=0,IF(RAND()&lt;1-Tecnología!$K$4,0,1),0)</f>
        <v>0</v>
      </c>
      <c r="M22" s="5">
        <f ca="1">IF(M$2=0,IF(RAND()&lt;1-Tecnología!$K$4,0,1),0)</f>
        <v>1</v>
      </c>
      <c r="N22" s="5">
        <f ca="1">IF(N$2=0,IF(RAND()&lt;1-Tecnología!$K$4,0,1),0)</f>
        <v>0</v>
      </c>
      <c r="O22" s="5">
        <f ca="1">IF(O$2=0,IF(RAND()&lt;1-Tecnología!$K$4,0,1),0)</f>
        <v>0</v>
      </c>
      <c r="P22" s="5">
        <f ca="1">IF(P$2=0,IF(RAND()&lt;1-Tecnología!$K$4,0,1),0)</f>
        <v>0</v>
      </c>
      <c r="Q22" s="5">
        <f ca="1">IF(Q$2=0,IF(RAND()&lt;1-Tecnología!$K$4,0,1),0)</f>
        <v>0</v>
      </c>
      <c r="R22" s="5">
        <f ca="1">IF(R$2=0,IF(RAND()&lt;1-Tecnología!$K$4,0,1),0)</f>
        <v>0</v>
      </c>
      <c r="S22" s="5">
        <f ca="1">IF(S$2=0,IF(RAND()&lt;1-Tecnología!$K$4,0,1),0)</f>
        <v>0</v>
      </c>
      <c r="T22" s="5">
        <f ca="1">IF(T$2=0,IF(RAND()&lt;1-Tecnología!$K$4,0,1),0)</f>
        <v>0</v>
      </c>
      <c r="U22" s="5">
        <f ca="1">IF(U$2=0,IF(RAND()&lt;1-Tecnología!$K$4,0,1),0)</f>
        <v>0</v>
      </c>
      <c r="V22" s="5">
        <f ca="1">IF(V$2=0,IF(RAND()&lt;1-Tecnología!$K$4,0,1),0)</f>
        <v>0</v>
      </c>
    </row>
    <row r="23" spans="1:22" s="2" customFormat="1" x14ac:dyDescent="0.35">
      <c r="A23" s="1">
        <v>20</v>
      </c>
      <c r="C23" s="5">
        <f ca="1">IF(C$2=0,IF(RAND()&lt;1-Tecnología!$K$4,0,1),0)</f>
        <v>0</v>
      </c>
      <c r="D23" s="5">
        <f ca="1">IF(D$2=0,IF(RAND()&lt;1-Tecnología!$K$4,0,1),0)</f>
        <v>0</v>
      </c>
      <c r="E23" s="5">
        <f ca="1">IF(E$2=0,IF(RAND()&lt;1-Tecnología!$K$4,0,1),0)</f>
        <v>0</v>
      </c>
      <c r="F23" s="5">
        <f ca="1">IF(F$2=0,IF(RAND()&lt;1-Tecnología!$K$4,0,1),0)</f>
        <v>0</v>
      </c>
      <c r="G23" s="5">
        <f ca="1">IF(G$2=0,IF(RAND()&lt;1-Tecnología!$K$4,0,1),0)</f>
        <v>0</v>
      </c>
      <c r="H23" s="5">
        <f ca="1">IF(H$2=0,IF(RAND()&lt;1-Tecnología!$K$4,0,1),0)</f>
        <v>0</v>
      </c>
      <c r="I23" s="5">
        <f ca="1">IF(I$2=0,IF(RAND()&lt;1-Tecnología!$K$4,0,1),0)</f>
        <v>0</v>
      </c>
      <c r="J23" s="5">
        <f ca="1">IF(J$2=0,IF(RAND()&lt;1-Tecnología!$K$4,0,1),0)</f>
        <v>0</v>
      </c>
      <c r="K23" s="5">
        <f ca="1">IF(K$2=0,IF(RAND()&lt;1-Tecnología!$K$4,0,1),0)</f>
        <v>0</v>
      </c>
      <c r="L23" s="5">
        <f ca="1">IF(L$2=0,IF(RAND()&lt;1-Tecnología!$K$4,0,1),0)</f>
        <v>1</v>
      </c>
      <c r="M23" s="5">
        <f ca="1">IF(M$2=0,IF(RAND()&lt;1-Tecnología!$K$4,0,1),0)</f>
        <v>1</v>
      </c>
      <c r="N23" s="5">
        <f ca="1">IF(N$2=0,IF(RAND()&lt;1-Tecnología!$K$4,0,1),0)</f>
        <v>1</v>
      </c>
      <c r="O23" s="5">
        <f ca="1">IF(O$2=0,IF(RAND()&lt;1-Tecnología!$K$4,0,1),0)</f>
        <v>0</v>
      </c>
      <c r="P23" s="5">
        <f ca="1">IF(P$2=0,IF(RAND()&lt;1-Tecnología!$K$4,0,1),0)</f>
        <v>0</v>
      </c>
      <c r="Q23" s="5">
        <f ca="1">IF(Q$2=0,IF(RAND()&lt;1-Tecnología!$K$4,0,1),0)</f>
        <v>1</v>
      </c>
      <c r="R23" s="5">
        <f ca="1">IF(R$2=0,IF(RAND()&lt;1-Tecnología!$K$4,0,1),0)</f>
        <v>1</v>
      </c>
      <c r="S23" s="5">
        <f ca="1">IF(S$2=0,IF(RAND()&lt;1-Tecnología!$K$4,0,1),0)</f>
        <v>0</v>
      </c>
      <c r="T23" s="5">
        <f ca="1">IF(T$2=0,IF(RAND()&lt;1-Tecnología!$K$4,0,1),0)</f>
        <v>0</v>
      </c>
      <c r="U23" s="5">
        <f ca="1">IF(U$2=0,IF(RAND()&lt;1-Tecnología!$K$4,0,1),0)</f>
        <v>1</v>
      </c>
      <c r="V23" s="5">
        <f ca="1">IF(V$2=0,IF(RAND()&lt;1-Tecnología!$K$4,0,1),0)</f>
        <v>0</v>
      </c>
    </row>
    <row r="24" spans="1:22" s="2" customFormat="1" x14ac:dyDescent="0.35">
      <c r="A24" s="1">
        <v>21</v>
      </c>
      <c r="C24" s="5">
        <f ca="1">IF(C$2=0,IF(RAND()&lt;1-Tecnología!$K$4,0,1),0)</f>
        <v>0</v>
      </c>
      <c r="D24" s="5">
        <f ca="1">IF(D$2=0,IF(RAND()&lt;1-Tecnología!$K$4,0,1),0)</f>
        <v>0</v>
      </c>
      <c r="E24" s="5">
        <f ca="1">IF(E$2=0,IF(RAND()&lt;1-Tecnología!$K$4,0,1),0)</f>
        <v>0</v>
      </c>
      <c r="F24" s="5">
        <f ca="1">IF(F$2=0,IF(RAND()&lt;1-Tecnología!$K$4,0,1),0)</f>
        <v>0</v>
      </c>
      <c r="G24" s="5">
        <f ca="1">IF(G$2=0,IF(RAND()&lt;1-Tecnología!$K$4,0,1),0)</f>
        <v>0</v>
      </c>
      <c r="H24" s="5">
        <f ca="1">IF(H$2=0,IF(RAND()&lt;1-Tecnología!$K$4,0,1),0)</f>
        <v>1</v>
      </c>
      <c r="I24" s="5">
        <f ca="1">IF(I$2=0,IF(RAND()&lt;1-Tecnología!$K$4,0,1),0)</f>
        <v>0</v>
      </c>
      <c r="J24" s="5">
        <f ca="1">IF(J$2=0,IF(RAND()&lt;1-Tecnología!$K$4,0,1),0)</f>
        <v>0</v>
      </c>
      <c r="K24" s="5">
        <f ca="1">IF(K$2=0,IF(RAND()&lt;1-Tecnología!$K$4,0,1),0)</f>
        <v>0</v>
      </c>
      <c r="L24" s="5">
        <f ca="1">IF(L$2=0,IF(RAND()&lt;1-Tecnología!$K$4,0,1),0)</f>
        <v>0</v>
      </c>
      <c r="M24" s="5">
        <f ca="1">IF(M$2=0,IF(RAND()&lt;1-Tecnología!$K$4,0,1),0)</f>
        <v>0</v>
      </c>
      <c r="N24" s="5">
        <f ca="1">IF(N$2=0,IF(RAND()&lt;1-Tecnología!$K$4,0,1),0)</f>
        <v>0</v>
      </c>
      <c r="O24" s="5">
        <f ca="1">IF(O$2=0,IF(RAND()&lt;1-Tecnología!$K$4,0,1),0)</f>
        <v>0</v>
      </c>
      <c r="P24" s="5">
        <f ca="1">IF(P$2=0,IF(RAND()&lt;1-Tecnología!$K$4,0,1),0)</f>
        <v>0</v>
      </c>
      <c r="Q24" s="5">
        <f ca="1">IF(Q$2=0,IF(RAND()&lt;1-Tecnología!$K$4,0,1),0)</f>
        <v>0</v>
      </c>
      <c r="R24" s="5">
        <f ca="1">IF(R$2=0,IF(RAND()&lt;1-Tecnología!$K$4,0,1),0)</f>
        <v>1</v>
      </c>
      <c r="S24" s="5">
        <f ca="1">IF(S$2=0,IF(RAND()&lt;1-Tecnología!$K$4,0,1),0)</f>
        <v>0</v>
      </c>
      <c r="T24" s="5">
        <f ca="1">IF(T$2=0,IF(RAND()&lt;1-Tecnología!$K$4,0,1),0)</f>
        <v>0</v>
      </c>
      <c r="U24" s="5">
        <f ca="1">IF(U$2=0,IF(RAND()&lt;1-Tecnología!$K$4,0,1),0)</f>
        <v>1</v>
      </c>
      <c r="V24" s="5">
        <f ca="1">IF(V$2=0,IF(RAND()&lt;1-Tecnología!$K$4,0,1),0)</f>
        <v>0</v>
      </c>
    </row>
    <row r="25" spans="1:22" s="2" customFormat="1" x14ac:dyDescent="0.35">
      <c r="A25" s="1">
        <v>22</v>
      </c>
      <c r="C25" s="5">
        <f ca="1">IF(C$2=0,IF(RAND()&lt;1-Tecnología!$K$4,0,1),0)</f>
        <v>0</v>
      </c>
      <c r="D25" s="5">
        <f ca="1">IF(D$2=0,IF(RAND()&lt;1-Tecnología!$K$4,0,1),0)</f>
        <v>0</v>
      </c>
      <c r="E25" s="5">
        <f ca="1">IF(E$2=0,IF(RAND()&lt;1-Tecnología!$K$4,0,1),0)</f>
        <v>0</v>
      </c>
      <c r="F25" s="5">
        <f ca="1">IF(F$2=0,IF(RAND()&lt;1-Tecnología!$K$4,0,1),0)</f>
        <v>0</v>
      </c>
      <c r="G25" s="5">
        <f ca="1">IF(G$2=0,IF(RAND()&lt;1-Tecnología!$K$4,0,1),0)</f>
        <v>0</v>
      </c>
      <c r="H25" s="5">
        <f ca="1">IF(H$2=0,IF(RAND()&lt;1-Tecnología!$K$4,0,1),0)</f>
        <v>1</v>
      </c>
      <c r="I25" s="5">
        <f ca="1">IF(I$2=0,IF(RAND()&lt;1-Tecnología!$K$4,0,1),0)</f>
        <v>0</v>
      </c>
      <c r="J25" s="5">
        <f ca="1">IF(J$2=0,IF(RAND()&lt;1-Tecnología!$K$4,0,1),0)</f>
        <v>0</v>
      </c>
      <c r="K25" s="5">
        <f ca="1">IF(K$2=0,IF(RAND()&lt;1-Tecnología!$K$4,0,1),0)</f>
        <v>0</v>
      </c>
      <c r="L25" s="5">
        <f ca="1">IF(L$2=0,IF(RAND()&lt;1-Tecnología!$K$4,0,1),0)</f>
        <v>0</v>
      </c>
      <c r="M25" s="5">
        <f ca="1">IF(M$2=0,IF(RAND()&lt;1-Tecnología!$K$4,0,1),0)</f>
        <v>0</v>
      </c>
      <c r="N25" s="5">
        <f ca="1">IF(N$2=0,IF(RAND()&lt;1-Tecnología!$K$4,0,1),0)</f>
        <v>0</v>
      </c>
      <c r="O25" s="5">
        <f ca="1">IF(O$2=0,IF(RAND()&lt;1-Tecnología!$K$4,0,1),0)</f>
        <v>0</v>
      </c>
      <c r="P25" s="5">
        <f ca="1">IF(P$2=0,IF(RAND()&lt;1-Tecnología!$K$4,0,1),0)</f>
        <v>1</v>
      </c>
      <c r="Q25" s="5">
        <f ca="1">IF(Q$2=0,IF(RAND()&lt;1-Tecnología!$K$4,0,1),0)</f>
        <v>0</v>
      </c>
      <c r="R25" s="5">
        <f ca="1">IF(R$2=0,IF(RAND()&lt;1-Tecnología!$K$4,0,1),0)</f>
        <v>1</v>
      </c>
      <c r="S25" s="5">
        <f ca="1">IF(S$2=0,IF(RAND()&lt;1-Tecnología!$K$4,0,1),0)</f>
        <v>0</v>
      </c>
      <c r="T25" s="5">
        <f ca="1">IF(T$2=0,IF(RAND()&lt;1-Tecnología!$K$4,0,1),0)</f>
        <v>0</v>
      </c>
      <c r="U25" s="5">
        <f ca="1">IF(U$2=0,IF(RAND()&lt;1-Tecnología!$K$4,0,1),0)</f>
        <v>0</v>
      </c>
      <c r="V25" s="5">
        <f ca="1">IF(V$2=0,IF(RAND()&lt;1-Tecnología!$K$4,0,1),0)</f>
        <v>1</v>
      </c>
    </row>
    <row r="26" spans="1:22" s="2" customFormat="1" x14ac:dyDescent="0.35">
      <c r="A26" s="1">
        <v>23</v>
      </c>
      <c r="C26" s="5">
        <f ca="1">IF(C$2=0,IF(RAND()&lt;1-Tecnología!$K$4,0,1),0)</f>
        <v>0</v>
      </c>
      <c r="D26" s="5">
        <f ca="1">IF(D$2=0,IF(RAND()&lt;1-Tecnología!$K$4,0,1),0)</f>
        <v>1</v>
      </c>
      <c r="E26" s="5">
        <f ca="1">IF(E$2=0,IF(RAND()&lt;1-Tecnología!$K$4,0,1),0)</f>
        <v>0</v>
      </c>
      <c r="F26" s="5">
        <f ca="1">IF(F$2=0,IF(RAND()&lt;1-Tecnología!$K$4,0,1),0)</f>
        <v>0</v>
      </c>
      <c r="G26" s="5">
        <f ca="1">IF(G$2=0,IF(RAND()&lt;1-Tecnología!$K$4,0,1),0)</f>
        <v>0</v>
      </c>
      <c r="H26" s="5">
        <f ca="1">IF(H$2=0,IF(RAND()&lt;1-Tecnología!$K$4,0,1),0)</f>
        <v>1</v>
      </c>
      <c r="I26" s="5">
        <f ca="1">IF(I$2=0,IF(RAND()&lt;1-Tecnología!$K$4,0,1),0)</f>
        <v>0</v>
      </c>
      <c r="J26" s="5">
        <f ca="1">IF(J$2=0,IF(RAND()&lt;1-Tecnología!$K$4,0,1),0)</f>
        <v>0</v>
      </c>
      <c r="K26" s="5">
        <f ca="1">IF(K$2=0,IF(RAND()&lt;1-Tecnología!$K$4,0,1),0)</f>
        <v>0</v>
      </c>
      <c r="L26" s="5">
        <f ca="1">IF(L$2=0,IF(RAND()&lt;1-Tecnología!$K$4,0,1),0)</f>
        <v>0</v>
      </c>
      <c r="M26" s="5">
        <f ca="1">IF(M$2=0,IF(RAND()&lt;1-Tecnología!$K$4,0,1),0)</f>
        <v>0</v>
      </c>
      <c r="N26" s="5">
        <f ca="1">IF(N$2=0,IF(RAND()&lt;1-Tecnología!$K$4,0,1),0)</f>
        <v>0</v>
      </c>
      <c r="O26" s="5">
        <f ca="1">IF(O$2=0,IF(RAND()&lt;1-Tecnología!$K$4,0,1),0)</f>
        <v>0</v>
      </c>
      <c r="P26" s="5">
        <f ca="1">IF(P$2=0,IF(RAND()&lt;1-Tecnología!$K$4,0,1),0)</f>
        <v>1</v>
      </c>
      <c r="Q26" s="5">
        <f ca="1">IF(Q$2=0,IF(RAND()&lt;1-Tecnología!$K$4,0,1),0)</f>
        <v>0</v>
      </c>
      <c r="R26" s="5">
        <f ca="1">IF(R$2=0,IF(RAND()&lt;1-Tecnología!$K$4,0,1),0)</f>
        <v>1</v>
      </c>
      <c r="S26" s="5">
        <f ca="1">IF(S$2=0,IF(RAND()&lt;1-Tecnología!$K$4,0,1),0)</f>
        <v>0</v>
      </c>
      <c r="T26" s="5">
        <f ca="1">IF(T$2=0,IF(RAND()&lt;1-Tecnología!$K$4,0,1),0)</f>
        <v>0</v>
      </c>
      <c r="U26" s="5">
        <f ca="1">IF(U$2=0,IF(RAND()&lt;1-Tecnología!$K$4,0,1),0)</f>
        <v>0</v>
      </c>
      <c r="V26" s="5">
        <f ca="1">IF(V$2=0,IF(RAND()&lt;1-Tecnología!$K$4,0,1),0)</f>
        <v>0</v>
      </c>
    </row>
    <row r="27" spans="1:22" s="2" customFormat="1" x14ac:dyDescent="0.35">
      <c r="A27" s="1">
        <v>24</v>
      </c>
      <c r="C27" s="5">
        <f ca="1">IF(C$2=0,IF(RAND()&lt;1-Tecnología!$K$4,0,1),0)</f>
        <v>0</v>
      </c>
      <c r="D27" s="5">
        <f ca="1">IF(D$2=0,IF(RAND()&lt;1-Tecnología!$K$4,0,1),0)</f>
        <v>0</v>
      </c>
      <c r="E27" s="5">
        <f ca="1">IF(E$2=0,IF(RAND()&lt;1-Tecnología!$K$4,0,1),0)</f>
        <v>1</v>
      </c>
      <c r="F27" s="5">
        <f ca="1">IF(F$2=0,IF(RAND()&lt;1-Tecnología!$K$4,0,1),0)</f>
        <v>0</v>
      </c>
      <c r="G27" s="5">
        <f ca="1">IF(G$2=0,IF(RAND()&lt;1-Tecnología!$K$4,0,1),0)</f>
        <v>0</v>
      </c>
      <c r="H27" s="5">
        <f ca="1">IF(H$2=0,IF(RAND()&lt;1-Tecnología!$K$4,0,1),0)</f>
        <v>0</v>
      </c>
      <c r="I27" s="5">
        <f ca="1">IF(I$2=0,IF(RAND()&lt;1-Tecnología!$K$4,0,1),0)</f>
        <v>0</v>
      </c>
      <c r="J27" s="5">
        <f ca="1">IF(J$2=0,IF(RAND()&lt;1-Tecnología!$K$4,0,1),0)</f>
        <v>0</v>
      </c>
      <c r="K27" s="5">
        <f ca="1">IF(K$2=0,IF(RAND()&lt;1-Tecnología!$K$4,0,1),0)</f>
        <v>0</v>
      </c>
      <c r="L27" s="5">
        <f ca="1">IF(L$2=0,IF(RAND()&lt;1-Tecnología!$K$4,0,1),0)</f>
        <v>0</v>
      </c>
      <c r="M27" s="5">
        <f ca="1">IF(M$2=0,IF(RAND()&lt;1-Tecnología!$K$4,0,1),0)</f>
        <v>0</v>
      </c>
      <c r="N27" s="5">
        <f ca="1">IF(N$2=0,IF(RAND()&lt;1-Tecnología!$K$4,0,1),0)</f>
        <v>1</v>
      </c>
      <c r="O27" s="5">
        <f ca="1">IF(O$2=0,IF(RAND()&lt;1-Tecnología!$K$4,0,1),0)</f>
        <v>0</v>
      </c>
      <c r="P27" s="5">
        <f ca="1">IF(P$2=0,IF(RAND()&lt;1-Tecnología!$K$4,0,1),0)</f>
        <v>0</v>
      </c>
      <c r="Q27" s="5">
        <f ca="1">IF(Q$2=0,IF(RAND()&lt;1-Tecnología!$K$4,0,1),0)</f>
        <v>1</v>
      </c>
      <c r="R27" s="5">
        <f ca="1">IF(R$2=0,IF(RAND()&lt;1-Tecnología!$K$4,0,1),0)</f>
        <v>1</v>
      </c>
      <c r="S27" s="5">
        <f ca="1">IF(S$2=0,IF(RAND()&lt;1-Tecnología!$K$4,0,1),0)</f>
        <v>0</v>
      </c>
      <c r="T27" s="5">
        <f ca="1">IF(T$2=0,IF(RAND()&lt;1-Tecnología!$K$4,0,1),0)</f>
        <v>1</v>
      </c>
      <c r="U27" s="5">
        <f ca="1">IF(U$2=0,IF(RAND()&lt;1-Tecnología!$K$4,0,1),0)</f>
        <v>1</v>
      </c>
      <c r="V27" s="5">
        <f ca="1">IF(V$2=0,IF(RAND()&lt;1-Tecnología!$K$4,0,1),0)</f>
        <v>0</v>
      </c>
    </row>
    <row r="28" spans="1:22" s="2" customFormat="1" x14ac:dyDescent="0.35">
      <c r="A28" s="1">
        <v>25</v>
      </c>
      <c r="C28" s="5">
        <f ca="1">IF(C$2=0,IF(RAND()&lt;1-Tecnología!$K$4,0,1),0)</f>
        <v>0</v>
      </c>
      <c r="D28" s="5">
        <f ca="1">IF(D$2=0,IF(RAND()&lt;1-Tecnología!$K$4,0,1),0)</f>
        <v>0</v>
      </c>
      <c r="E28" s="5">
        <f ca="1">IF(E$2=0,IF(RAND()&lt;1-Tecnología!$K$4,0,1),0)</f>
        <v>1</v>
      </c>
      <c r="F28" s="5">
        <f ca="1">IF(F$2=0,IF(RAND()&lt;1-Tecnología!$K$4,0,1),0)</f>
        <v>1</v>
      </c>
      <c r="G28" s="5">
        <f ca="1">IF(G$2=0,IF(RAND()&lt;1-Tecnología!$K$4,0,1),0)</f>
        <v>0</v>
      </c>
      <c r="H28" s="5">
        <f ca="1">IF(H$2=0,IF(RAND()&lt;1-Tecnología!$K$4,0,1),0)</f>
        <v>1</v>
      </c>
      <c r="I28" s="5">
        <f ca="1">IF(I$2=0,IF(RAND()&lt;1-Tecnología!$K$4,0,1),0)</f>
        <v>1</v>
      </c>
      <c r="J28" s="5">
        <f ca="1">IF(J$2=0,IF(RAND()&lt;1-Tecnología!$K$4,0,1),0)</f>
        <v>0</v>
      </c>
      <c r="K28" s="5">
        <f ca="1">IF(K$2=0,IF(RAND()&lt;1-Tecnología!$K$4,0,1),0)</f>
        <v>0</v>
      </c>
      <c r="L28" s="5">
        <f ca="1">IF(L$2=0,IF(RAND()&lt;1-Tecnología!$K$4,0,1),0)</f>
        <v>0</v>
      </c>
      <c r="M28" s="5">
        <f ca="1">IF(M$2=0,IF(RAND()&lt;1-Tecnología!$K$4,0,1),0)</f>
        <v>0</v>
      </c>
      <c r="N28" s="5">
        <f ca="1">IF(N$2=0,IF(RAND()&lt;1-Tecnología!$K$4,0,1),0)</f>
        <v>0</v>
      </c>
      <c r="O28" s="5">
        <f ca="1">IF(O$2=0,IF(RAND()&lt;1-Tecnología!$K$4,0,1),0)</f>
        <v>0</v>
      </c>
      <c r="P28" s="5">
        <f ca="1">IF(P$2=0,IF(RAND()&lt;1-Tecnología!$K$4,0,1),0)</f>
        <v>0</v>
      </c>
      <c r="Q28" s="5">
        <f ca="1">IF(Q$2=0,IF(RAND()&lt;1-Tecnología!$K$4,0,1),0)</f>
        <v>0</v>
      </c>
      <c r="R28" s="5">
        <f ca="1">IF(R$2=0,IF(RAND()&lt;1-Tecnología!$K$4,0,1),0)</f>
        <v>0</v>
      </c>
      <c r="S28" s="5">
        <f ca="1">IF(S$2=0,IF(RAND()&lt;1-Tecnología!$K$4,0,1),0)</f>
        <v>0</v>
      </c>
      <c r="T28" s="5">
        <f ca="1">IF(T$2=0,IF(RAND()&lt;1-Tecnología!$K$4,0,1),0)</f>
        <v>0</v>
      </c>
      <c r="U28" s="5">
        <f ca="1">IF(U$2=0,IF(RAND()&lt;1-Tecnología!$K$4,0,1),0)</f>
        <v>0</v>
      </c>
      <c r="V28" s="5">
        <f ca="1">IF(V$2=0,IF(RAND()&lt;1-Tecnología!$K$4,0,1),0)</f>
        <v>0</v>
      </c>
    </row>
    <row r="29" spans="1:22" s="2" customFormat="1" x14ac:dyDescent="0.35">
      <c r="A29" s="1">
        <v>26</v>
      </c>
      <c r="C29" s="5">
        <f ca="1">IF(C$2=0,IF(RAND()&lt;1-Tecnología!$K$4,0,1),0)</f>
        <v>0</v>
      </c>
      <c r="D29" s="5">
        <f ca="1">IF(D$2=0,IF(RAND()&lt;1-Tecnología!$K$4,0,1),0)</f>
        <v>0</v>
      </c>
      <c r="E29" s="5">
        <f ca="1">IF(E$2=0,IF(RAND()&lt;1-Tecnología!$K$4,0,1),0)</f>
        <v>1</v>
      </c>
      <c r="F29" s="5">
        <f ca="1">IF(F$2=0,IF(RAND()&lt;1-Tecnología!$K$4,0,1),0)</f>
        <v>1</v>
      </c>
      <c r="G29" s="5">
        <f ca="1">IF(G$2=0,IF(RAND()&lt;1-Tecnología!$K$4,0,1),0)</f>
        <v>0</v>
      </c>
      <c r="H29" s="5">
        <f ca="1">IF(H$2=0,IF(RAND()&lt;1-Tecnología!$K$4,0,1),0)</f>
        <v>0</v>
      </c>
      <c r="I29" s="5">
        <f ca="1">IF(I$2=0,IF(RAND()&lt;1-Tecnología!$K$4,0,1),0)</f>
        <v>0</v>
      </c>
      <c r="J29" s="5">
        <f ca="1">IF(J$2=0,IF(RAND()&lt;1-Tecnología!$K$4,0,1),0)</f>
        <v>1</v>
      </c>
      <c r="K29" s="5">
        <f ca="1">IF(K$2=0,IF(RAND()&lt;1-Tecnología!$K$4,0,1),0)</f>
        <v>0</v>
      </c>
      <c r="L29" s="5">
        <f ca="1">IF(L$2=0,IF(RAND()&lt;1-Tecnología!$K$4,0,1),0)</f>
        <v>1</v>
      </c>
      <c r="M29" s="5">
        <f ca="1">IF(M$2=0,IF(RAND()&lt;1-Tecnología!$K$4,0,1),0)</f>
        <v>1</v>
      </c>
      <c r="N29" s="5">
        <f ca="1">IF(N$2=0,IF(RAND()&lt;1-Tecnología!$K$4,0,1),0)</f>
        <v>0</v>
      </c>
      <c r="O29" s="5">
        <f ca="1">IF(O$2=0,IF(RAND()&lt;1-Tecnología!$K$4,0,1),0)</f>
        <v>0</v>
      </c>
      <c r="P29" s="5">
        <f ca="1">IF(P$2=0,IF(RAND()&lt;1-Tecnología!$K$4,0,1),0)</f>
        <v>0</v>
      </c>
      <c r="Q29" s="5">
        <f ca="1">IF(Q$2=0,IF(RAND()&lt;1-Tecnología!$K$4,0,1),0)</f>
        <v>0</v>
      </c>
      <c r="R29" s="5">
        <f ca="1">IF(R$2=0,IF(RAND()&lt;1-Tecnología!$K$4,0,1),0)</f>
        <v>1</v>
      </c>
      <c r="S29" s="5">
        <f ca="1">IF(S$2=0,IF(RAND()&lt;1-Tecnología!$K$4,0,1),0)</f>
        <v>0</v>
      </c>
      <c r="T29" s="5">
        <f ca="1">IF(T$2=0,IF(RAND()&lt;1-Tecnología!$K$4,0,1),0)</f>
        <v>0</v>
      </c>
      <c r="U29" s="5">
        <f ca="1">IF(U$2=0,IF(RAND()&lt;1-Tecnología!$K$4,0,1),0)</f>
        <v>0</v>
      </c>
      <c r="V29" s="5">
        <f ca="1">IF(V$2=0,IF(RAND()&lt;1-Tecnología!$K$4,0,1),0)</f>
        <v>0</v>
      </c>
    </row>
    <row r="30" spans="1:22" s="2" customFormat="1" x14ac:dyDescent="0.35">
      <c r="A30" s="1">
        <v>27</v>
      </c>
      <c r="C30" s="5">
        <f ca="1">IF(C$2=0,IF(RAND()&lt;1-Tecnología!$K$4,0,1),0)</f>
        <v>0</v>
      </c>
      <c r="D30" s="5">
        <f ca="1">IF(D$2=0,IF(RAND()&lt;1-Tecnología!$K$4,0,1),0)</f>
        <v>1</v>
      </c>
      <c r="E30" s="5">
        <f ca="1">IF(E$2=0,IF(RAND()&lt;1-Tecnología!$K$4,0,1),0)</f>
        <v>0</v>
      </c>
      <c r="F30" s="5">
        <f ca="1">IF(F$2=0,IF(RAND()&lt;1-Tecnología!$K$4,0,1),0)</f>
        <v>0</v>
      </c>
      <c r="G30" s="5">
        <f ca="1">IF(G$2=0,IF(RAND()&lt;1-Tecnología!$K$4,0,1),0)</f>
        <v>0</v>
      </c>
      <c r="H30" s="5">
        <f ca="1">IF(H$2=0,IF(RAND()&lt;1-Tecnología!$K$4,0,1),0)</f>
        <v>0</v>
      </c>
      <c r="I30" s="5">
        <f ca="1">IF(I$2=0,IF(RAND()&lt;1-Tecnología!$K$4,0,1),0)</f>
        <v>0</v>
      </c>
      <c r="J30" s="5">
        <f ca="1">IF(J$2=0,IF(RAND()&lt;1-Tecnología!$K$4,0,1),0)</f>
        <v>0</v>
      </c>
      <c r="K30" s="5">
        <f ca="1">IF(K$2=0,IF(RAND()&lt;1-Tecnología!$K$4,0,1),0)</f>
        <v>0</v>
      </c>
      <c r="L30" s="5">
        <f ca="1">IF(L$2=0,IF(RAND()&lt;1-Tecnología!$K$4,0,1),0)</f>
        <v>0</v>
      </c>
      <c r="M30" s="5">
        <f ca="1">IF(M$2=0,IF(RAND()&lt;1-Tecnología!$K$4,0,1),0)</f>
        <v>0</v>
      </c>
      <c r="N30" s="5">
        <f ca="1">IF(N$2=0,IF(RAND()&lt;1-Tecnología!$K$4,0,1),0)</f>
        <v>1</v>
      </c>
      <c r="O30" s="5">
        <f ca="1">IF(O$2=0,IF(RAND()&lt;1-Tecnología!$K$4,0,1),0)</f>
        <v>0</v>
      </c>
      <c r="P30" s="5">
        <f ca="1">IF(P$2=0,IF(RAND()&lt;1-Tecnología!$K$4,0,1),0)</f>
        <v>0</v>
      </c>
      <c r="Q30" s="5">
        <f ca="1">IF(Q$2=0,IF(RAND()&lt;1-Tecnología!$K$4,0,1),0)</f>
        <v>0</v>
      </c>
      <c r="R30" s="5">
        <f ca="1">IF(R$2=0,IF(RAND()&lt;1-Tecnología!$K$4,0,1),0)</f>
        <v>1</v>
      </c>
      <c r="S30" s="5">
        <f ca="1">IF(S$2=0,IF(RAND()&lt;1-Tecnología!$K$4,0,1),0)</f>
        <v>0</v>
      </c>
      <c r="T30" s="5">
        <f ca="1">IF(T$2=0,IF(RAND()&lt;1-Tecnología!$K$4,0,1),0)</f>
        <v>0</v>
      </c>
      <c r="U30" s="5">
        <f ca="1">IF(U$2=0,IF(RAND()&lt;1-Tecnología!$K$4,0,1),0)</f>
        <v>0</v>
      </c>
      <c r="V30" s="5">
        <f ca="1">IF(V$2=0,IF(RAND()&lt;1-Tecnología!$K$4,0,1),0)</f>
        <v>0</v>
      </c>
    </row>
    <row r="31" spans="1:22" s="2" customFormat="1" x14ac:dyDescent="0.35">
      <c r="A31" s="1">
        <v>28</v>
      </c>
      <c r="C31" s="5">
        <f ca="1">IF(C$2=0,IF(RAND()&lt;1-Tecnología!$K$4,0,1),0)</f>
        <v>0</v>
      </c>
      <c r="D31" s="5">
        <f ca="1">IF(D$2=0,IF(RAND()&lt;1-Tecnología!$K$4,0,1),0)</f>
        <v>1</v>
      </c>
      <c r="E31" s="5">
        <f ca="1">IF(E$2=0,IF(RAND()&lt;1-Tecnología!$K$4,0,1),0)</f>
        <v>0</v>
      </c>
      <c r="F31" s="5">
        <f ca="1">IF(F$2=0,IF(RAND()&lt;1-Tecnología!$K$4,0,1),0)</f>
        <v>1</v>
      </c>
      <c r="G31" s="5">
        <f ca="1">IF(G$2=0,IF(RAND()&lt;1-Tecnología!$K$4,0,1),0)</f>
        <v>0</v>
      </c>
      <c r="H31" s="5">
        <f ca="1">IF(H$2=0,IF(RAND()&lt;1-Tecnología!$K$4,0,1),0)</f>
        <v>1</v>
      </c>
      <c r="I31" s="5">
        <f ca="1">IF(I$2=0,IF(RAND()&lt;1-Tecnología!$K$4,0,1),0)</f>
        <v>0</v>
      </c>
      <c r="J31" s="5">
        <f ca="1">IF(J$2=0,IF(RAND()&lt;1-Tecnología!$K$4,0,1),0)</f>
        <v>1</v>
      </c>
      <c r="K31" s="5">
        <f ca="1">IF(K$2=0,IF(RAND()&lt;1-Tecnología!$K$4,0,1),0)</f>
        <v>0</v>
      </c>
      <c r="L31" s="5">
        <f ca="1">IF(L$2=0,IF(RAND()&lt;1-Tecnología!$K$4,0,1),0)</f>
        <v>1</v>
      </c>
      <c r="M31" s="5">
        <f ca="1">IF(M$2=0,IF(RAND()&lt;1-Tecnología!$K$4,0,1),0)</f>
        <v>1</v>
      </c>
      <c r="N31" s="5">
        <f ca="1">IF(N$2=0,IF(RAND()&lt;1-Tecnología!$K$4,0,1),0)</f>
        <v>1</v>
      </c>
      <c r="O31" s="5">
        <f ca="1">IF(O$2=0,IF(RAND()&lt;1-Tecnología!$K$4,0,1),0)</f>
        <v>0</v>
      </c>
      <c r="P31" s="5">
        <f ca="1">IF(P$2=0,IF(RAND()&lt;1-Tecnología!$K$4,0,1),0)</f>
        <v>0</v>
      </c>
      <c r="Q31" s="5">
        <f ca="1">IF(Q$2=0,IF(RAND()&lt;1-Tecnología!$K$4,0,1),0)</f>
        <v>1</v>
      </c>
      <c r="R31" s="5">
        <f ca="1">IF(R$2=0,IF(RAND()&lt;1-Tecnología!$K$4,0,1),0)</f>
        <v>1</v>
      </c>
      <c r="S31" s="5">
        <f ca="1">IF(S$2=0,IF(RAND()&lt;1-Tecnología!$K$4,0,1),0)</f>
        <v>0</v>
      </c>
      <c r="T31" s="5">
        <f ca="1">IF(T$2=0,IF(RAND()&lt;1-Tecnología!$K$4,0,1),0)</f>
        <v>1</v>
      </c>
      <c r="U31" s="5">
        <f ca="1">IF(U$2=0,IF(RAND()&lt;1-Tecnología!$K$4,0,1),0)</f>
        <v>0</v>
      </c>
      <c r="V31" s="5">
        <f ca="1">IF(V$2=0,IF(RAND()&lt;1-Tecnología!$K$4,0,1),0)</f>
        <v>0</v>
      </c>
    </row>
    <row r="32" spans="1:22" s="2" customFormat="1" x14ac:dyDescent="0.35">
      <c r="A32" s="1">
        <v>29</v>
      </c>
      <c r="C32" s="5">
        <f ca="1">IF(C$2=0,IF(RAND()&lt;1-Tecnología!$K$4,0,1),0)</f>
        <v>0</v>
      </c>
      <c r="D32" s="5">
        <f ca="1">IF(D$2=0,IF(RAND()&lt;1-Tecnología!$K$4,0,1),0)</f>
        <v>1</v>
      </c>
      <c r="E32" s="5">
        <f ca="1">IF(E$2=0,IF(RAND()&lt;1-Tecnología!$K$4,0,1),0)</f>
        <v>0</v>
      </c>
      <c r="F32" s="5">
        <f ca="1">IF(F$2=0,IF(RAND()&lt;1-Tecnología!$K$4,0,1),0)</f>
        <v>0</v>
      </c>
      <c r="G32" s="5">
        <f ca="1">IF(G$2=0,IF(RAND()&lt;1-Tecnología!$K$4,0,1),0)</f>
        <v>0</v>
      </c>
      <c r="H32" s="5">
        <f ca="1">IF(H$2=0,IF(RAND()&lt;1-Tecnología!$K$4,0,1),0)</f>
        <v>0</v>
      </c>
      <c r="I32" s="5">
        <f ca="1">IF(I$2=0,IF(RAND()&lt;1-Tecnología!$K$4,0,1),0)</f>
        <v>0</v>
      </c>
      <c r="J32" s="5">
        <f ca="1">IF(J$2=0,IF(RAND()&lt;1-Tecnología!$K$4,0,1),0)</f>
        <v>0</v>
      </c>
      <c r="K32" s="5">
        <f ca="1">IF(K$2=0,IF(RAND()&lt;1-Tecnología!$K$4,0,1),0)</f>
        <v>0</v>
      </c>
      <c r="L32" s="5">
        <f ca="1">IF(L$2=0,IF(RAND()&lt;1-Tecnología!$K$4,0,1),0)</f>
        <v>0</v>
      </c>
      <c r="M32" s="5">
        <f ca="1">IF(M$2=0,IF(RAND()&lt;1-Tecnología!$K$4,0,1),0)</f>
        <v>0</v>
      </c>
      <c r="N32" s="5">
        <f ca="1">IF(N$2=0,IF(RAND()&lt;1-Tecnología!$K$4,0,1),0)</f>
        <v>0</v>
      </c>
      <c r="O32" s="5">
        <f ca="1">IF(O$2=0,IF(RAND()&lt;1-Tecnología!$K$4,0,1),0)</f>
        <v>0</v>
      </c>
      <c r="P32" s="5">
        <f ca="1">IF(P$2=0,IF(RAND()&lt;1-Tecnología!$K$4,0,1),0)</f>
        <v>0</v>
      </c>
      <c r="Q32" s="5">
        <f ca="1">IF(Q$2=0,IF(RAND()&lt;1-Tecnología!$K$4,0,1),0)</f>
        <v>0</v>
      </c>
      <c r="R32" s="5">
        <f ca="1">IF(R$2=0,IF(RAND()&lt;1-Tecnología!$K$4,0,1),0)</f>
        <v>0</v>
      </c>
      <c r="S32" s="5">
        <f ca="1">IF(S$2=0,IF(RAND()&lt;1-Tecnología!$K$4,0,1),0)</f>
        <v>0</v>
      </c>
      <c r="T32" s="5">
        <f ca="1">IF(T$2=0,IF(RAND()&lt;1-Tecnología!$K$4,0,1),0)</f>
        <v>0</v>
      </c>
      <c r="U32" s="5">
        <f ca="1">IF(U$2=0,IF(RAND()&lt;1-Tecnología!$K$4,0,1),0)</f>
        <v>0</v>
      </c>
      <c r="V32" s="5">
        <f ca="1">IF(V$2=0,IF(RAND()&lt;1-Tecnología!$K$4,0,1),0)</f>
        <v>0</v>
      </c>
    </row>
    <row r="33" spans="1:22" s="2" customFormat="1" x14ac:dyDescent="0.35">
      <c r="A33" s="1">
        <v>30</v>
      </c>
      <c r="C33" s="5">
        <f ca="1">IF(C$2=0,IF(RAND()&lt;1-Tecnología!$K$4,0,1),0)</f>
        <v>0</v>
      </c>
      <c r="D33" s="5">
        <f ca="1">IF(D$2=0,IF(RAND()&lt;1-Tecnología!$K$4,0,1),0)</f>
        <v>0</v>
      </c>
      <c r="E33" s="5">
        <f ca="1">IF(E$2=0,IF(RAND()&lt;1-Tecnología!$K$4,0,1),0)</f>
        <v>0</v>
      </c>
      <c r="F33" s="5">
        <f ca="1">IF(F$2=0,IF(RAND()&lt;1-Tecnología!$K$4,0,1),0)</f>
        <v>0</v>
      </c>
      <c r="G33" s="5">
        <f ca="1">IF(G$2=0,IF(RAND()&lt;1-Tecnología!$K$4,0,1),0)</f>
        <v>0</v>
      </c>
      <c r="H33" s="5">
        <f ca="1">IF(H$2=0,IF(RAND()&lt;1-Tecnología!$K$4,0,1),0)</f>
        <v>0</v>
      </c>
      <c r="I33" s="5">
        <f ca="1">IF(I$2=0,IF(RAND()&lt;1-Tecnología!$K$4,0,1),0)</f>
        <v>0</v>
      </c>
      <c r="J33" s="5">
        <f ca="1">IF(J$2=0,IF(RAND()&lt;1-Tecnología!$K$4,0,1),0)</f>
        <v>0</v>
      </c>
      <c r="K33" s="5">
        <f ca="1">IF(K$2=0,IF(RAND()&lt;1-Tecnología!$K$4,0,1),0)</f>
        <v>0</v>
      </c>
      <c r="L33" s="5">
        <f ca="1">IF(L$2=0,IF(RAND()&lt;1-Tecnología!$K$4,0,1),0)</f>
        <v>0</v>
      </c>
      <c r="M33" s="5">
        <f ca="1">IF(M$2=0,IF(RAND()&lt;1-Tecnología!$K$4,0,1),0)</f>
        <v>0</v>
      </c>
      <c r="N33" s="5">
        <f ca="1">IF(N$2=0,IF(RAND()&lt;1-Tecnología!$K$4,0,1),0)</f>
        <v>0</v>
      </c>
      <c r="O33" s="5">
        <f ca="1">IF(O$2=0,IF(RAND()&lt;1-Tecnología!$K$4,0,1),0)</f>
        <v>0</v>
      </c>
      <c r="P33" s="5">
        <f ca="1">IF(P$2=0,IF(RAND()&lt;1-Tecnología!$K$4,0,1),0)</f>
        <v>0</v>
      </c>
      <c r="Q33" s="5">
        <f ca="1">IF(Q$2=0,IF(RAND()&lt;1-Tecnología!$K$4,0,1),0)</f>
        <v>1</v>
      </c>
      <c r="R33" s="5">
        <f ca="1">IF(R$2=0,IF(RAND()&lt;1-Tecnología!$K$4,0,1),0)</f>
        <v>1</v>
      </c>
      <c r="S33" s="5">
        <f ca="1">IF(S$2=0,IF(RAND()&lt;1-Tecnología!$K$4,0,1),0)</f>
        <v>0</v>
      </c>
      <c r="T33" s="5">
        <f ca="1">IF(T$2=0,IF(RAND()&lt;1-Tecnología!$K$4,0,1),0)</f>
        <v>1</v>
      </c>
      <c r="U33" s="5">
        <f ca="1">IF(U$2=0,IF(RAND()&lt;1-Tecnología!$K$4,0,1),0)</f>
        <v>0</v>
      </c>
      <c r="V33" s="5">
        <f ca="1">IF(V$2=0,IF(RAND()&lt;1-Tecnología!$K$4,0,1),0)</f>
        <v>0</v>
      </c>
    </row>
    <row r="35" spans="1:22" s="3" customFormat="1" x14ac:dyDescent="0.35">
      <c r="A35" s="16" t="s">
        <v>7</v>
      </c>
      <c r="B35" s="16"/>
      <c r="C35" s="3">
        <f ca="1">SUM(C4:C33)</f>
        <v>0</v>
      </c>
      <c r="D35" s="3">
        <f t="shared" ref="D35:V35" ca="1" si="0">SUM(D4:D33)</f>
        <v>11</v>
      </c>
      <c r="E35" s="3">
        <f t="shared" ca="1" si="0"/>
        <v>11</v>
      </c>
      <c r="F35" s="3">
        <f t="shared" ca="1" si="0"/>
        <v>7</v>
      </c>
      <c r="G35" s="3">
        <f t="shared" ca="1" si="0"/>
        <v>0</v>
      </c>
      <c r="H35" s="3">
        <f t="shared" ca="1" si="0"/>
        <v>9</v>
      </c>
      <c r="I35" s="3">
        <f t="shared" ca="1" si="0"/>
        <v>7</v>
      </c>
      <c r="J35" s="3">
        <f t="shared" ca="1" si="0"/>
        <v>12</v>
      </c>
      <c r="K35" s="3">
        <f t="shared" ca="1" si="0"/>
        <v>0</v>
      </c>
      <c r="L35" s="3">
        <f t="shared" ca="1" si="0"/>
        <v>10</v>
      </c>
      <c r="M35" s="3">
        <f t="shared" ca="1" si="0"/>
        <v>9</v>
      </c>
      <c r="N35" s="3">
        <f t="shared" ca="1" si="0"/>
        <v>12</v>
      </c>
      <c r="O35" s="3">
        <f t="shared" ca="1" si="0"/>
        <v>0</v>
      </c>
      <c r="P35" s="3">
        <f t="shared" ca="1" si="0"/>
        <v>6</v>
      </c>
      <c r="Q35" s="3">
        <f t="shared" ca="1" si="0"/>
        <v>13</v>
      </c>
      <c r="R35" s="3">
        <f t="shared" ca="1" si="0"/>
        <v>15</v>
      </c>
      <c r="S35" s="3">
        <f t="shared" ca="1" si="0"/>
        <v>0</v>
      </c>
      <c r="T35" s="3">
        <f t="shared" ca="1" si="0"/>
        <v>8</v>
      </c>
      <c r="U35" s="3">
        <f t="shared" ca="1" si="0"/>
        <v>7</v>
      </c>
      <c r="V35" s="3">
        <f t="shared" ca="1" si="0"/>
        <v>6</v>
      </c>
    </row>
    <row r="36" spans="1:22" s="3" customFormat="1" x14ac:dyDescent="0.35">
      <c r="A36" s="17" t="s">
        <v>6</v>
      </c>
      <c r="B36" s="17"/>
      <c r="C36" s="8">
        <f ca="1">C35/30</f>
        <v>0</v>
      </c>
      <c r="D36" s="8">
        <f t="shared" ref="D36:V36" ca="1" si="1">D35/30</f>
        <v>0.36666666666666664</v>
      </c>
      <c r="E36" s="8">
        <f t="shared" ca="1" si="1"/>
        <v>0.36666666666666664</v>
      </c>
      <c r="F36" s="8">
        <f t="shared" ca="1" si="1"/>
        <v>0.23333333333333334</v>
      </c>
      <c r="G36" s="8">
        <f t="shared" ca="1" si="1"/>
        <v>0</v>
      </c>
      <c r="H36" s="8">
        <f t="shared" ca="1" si="1"/>
        <v>0.3</v>
      </c>
      <c r="I36" s="8">
        <f t="shared" ca="1" si="1"/>
        <v>0.23333333333333334</v>
      </c>
      <c r="J36" s="8">
        <f t="shared" ca="1" si="1"/>
        <v>0.4</v>
      </c>
      <c r="K36" s="8">
        <f t="shared" ca="1" si="1"/>
        <v>0</v>
      </c>
      <c r="L36" s="8">
        <f t="shared" ca="1" si="1"/>
        <v>0.33333333333333331</v>
      </c>
      <c r="M36" s="8">
        <f t="shared" ca="1" si="1"/>
        <v>0.3</v>
      </c>
      <c r="N36" s="8">
        <f t="shared" ca="1" si="1"/>
        <v>0.4</v>
      </c>
      <c r="O36" s="8">
        <f t="shared" ca="1" si="1"/>
        <v>0</v>
      </c>
      <c r="P36" s="8">
        <f t="shared" ca="1" si="1"/>
        <v>0.2</v>
      </c>
      <c r="Q36" s="8">
        <f t="shared" ca="1" si="1"/>
        <v>0.43333333333333335</v>
      </c>
      <c r="R36" s="8">
        <f t="shared" ca="1" si="1"/>
        <v>0.5</v>
      </c>
      <c r="S36" s="8">
        <f t="shared" ca="1" si="1"/>
        <v>0</v>
      </c>
      <c r="T36" s="8">
        <f t="shared" ca="1" si="1"/>
        <v>0.26666666666666666</v>
      </c>
      <c r="U36" s="8">
        <f t="shared" ca="1" si="1"/>
        <v>0.23333333333333334</v>
      </c>
      <c r="V36" s="8">
        <f t="shared" ca="1" si="1"/>
        <v>0.2</v>
      </c>
    </row>
  </sheetData>
  <mergeCells count="2">
    <mergeCell ref="A35:B35"/>
    <mergeCell ref="A36:B3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E880E-8C1D-471D-B3E7-AD10E8AB0897}">
  <sheetPr codeName="Sheet5"/>
  <dimension ref="A1:V36"/>
  <sheetViews>
    <sheetView zoomScale="70" zoomScaleNormal="70" workbookViewId="0">
      <selection activeCell="C23" sqref="C23"/>
    </sheetView>
  </sheetViews>
  <sheetFormatPr defaultRowHeight="14.5" x14ac:dyDescent="0.35"/>
  <cols>
    <col min="1" max="1" width="14.26953125" style="1" bestFit="1" customWidth="1"/>
  </cols>
  <sheetData>
    <row r="1" spans="1:22" s="1" customFormat="1" x14ac:dyDescent="0.35">
      <c r="A1" s="1" t="s">
        <v>0</v>
      </c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>
        <v>9</v>
      </c>
      <c r="L1" s="1">
        <v>10</v>
      </c>
      <c r="M1" s="1">
        <v>11</v>
      </c>
      <c r="N1" s="1">
        <v>12</v>
      </c>
      <c r="O1" s="1">
        <v>13</v>
      </c>
      <c r="P1" s="1">
        <v>14</v>
      </c>
      <c r="Q1" s="1">
        <v>15</v>
      </c>
      <c r="R1" s="1">
        <v>16</v>
      </c>
      <c r="S1" s="1">
        <v>17</v>
      </c>
      <c r="T1" s="1">
        <v>18</v>
      </c>
      <c r="U1" s="1">
        <v>19</v>
      </c>
      <c r="V1" s="1">
        <v>20</v>
      </c>
    </row>
    <row r="2" spans="1:22" s="9" customFormat="1" x14ac:dyDescent="0.35">
      <c r="A2" s="9" t="s">
        <v>11</v>
      </c>
      <c r="B2" s="9">
        <f>Tecnología!B9</f>
        <v>0</v>
      </c>
      <c r="C2" s="9">
        <f>Tecnología!C9</f>
        <v>1</v>
      </c>
      <c r="D2" s="9">
        <f>Tecnología!D9</f>
        <v>0</v>
      </c>
      <c r="E2" s="9">
        <f>Tecnología!E9</f>
        <v>0</v>
      </c>
      <c r="F2" s="9">
        <f>Tecnología!F9</f>
        <v>0</v>
      </c>
      <c r="G2" s="9">
        <f>Tecnología!G9</f>
        <v>5</v>
      </c>
      <c r="H2" s="9">
        <f>Tecnología!H9</f>
        <v>0</v>
      </c>
      <c r="I2" s="9">
        <f>Tecnología!I9</f>
        <v>0</v>
      </c>
      <c r="J2" s="9">
        <f>Tecnología!J9</f>
        <v>0</v>
      </c>
      <c r="K2" s="9">
        <f>Tecnología!K9</f>
        <v>9</v>
      </c>
      <c r="L2" s="9">
        <f>Tecnología!L9</f>
        <v>0</v>
      </c>
      <c r="M2" s="9">
        <f>Tecnología!M9</f>
        <v>0</v>
      </c>
      <c r="N2" s="9">
        <f>Tecnología!N9</f>
        <v>0</v>
      </c>
      <c r="O2" s="9">
        <f>Tecnología!O9</f>
        <v>13</v>
      </c>
      <c r="P2" s="9">
        <f>Tecnología!P9</f>
        <v>0</v>
      </c>
      <c r="Q2" s="9">
        <f>Tecnología!Q9</f>
        <v>0</v>
      </c>
      <c r="R2" s="9">
        <f>Tecnología!R9</f>
        <v>0</v>
      </c>
      <c r="S2" s="9">
        <f>Tecnología!S9</f>
        <v>17</v>
      </c>
      <c r="T2" s="9">
        <f>Tecnología!T9</f>
        <v>0</v>
      </c>
      <c r="U2" s="9">
        <f>Tecnología!U9</f>
        <v>0</v>
      </c>
      <c r="V2" s="9">
        <f>Tecnología!V9</f>
        <v>0</v>
      </c>
    </row>
    <row r="3" spans="1:22" s="9" customFormat="1" x14ac:dyDescent="0.35">
      <c r="A3" s="6"/>
    </row>
    <row r="4" spans="1:22" s="2" customFormat="1" x14ac:dyDescent="0.35">
      <c r="A4" s="1">
        <v>1</v>
      </c>
      <c r="B4" s="3">
        <v>1</v>
      </c>
      <c r="C4" s="5">
        <f>IF(B4=0, 0, IF(C$2=0, 1, IF(Tecnología!B11=Tecnología!B$42, 1, 0)))</f>
        <v>1</v>
      </c>
      <c r="D4" s="5">
        <f>IF(C4=0, 0, IF(D$2=0, 1, IF(Tecnología!C11=Tecnología!C$42, 1, 0)))</f>
        <v>1</v>
      </c>
      <c r="E4" s="5">
        <f>IF(D4=0, 0, IF(E$2=0, 1, IF(Tecnología!D11=Tecnología!D$42, 1, 0)))</f>
        <v>1</v>
      </c>
      <c r="F4" s="5">
        <f>IF(E4=0, 0, IF(F$2=0, 1, IF(Tecnología!E11=Tecnología!E$42, 1, 0)))</f>
        <v>1</v>
      </c>
      <c r="G4" s="5">
        <f ca="1">IF(F4=0, 0, IF(G$2=0, 1, IF(Tecnología!F11=Tecnología!F$42, 1, 0)))</f>
        <v>1</v>
      </c>
      <c r="H4" s="5">
        <f ca="1">IF(G4=0, 0, IF(H$2=0, 1, IF(Tecnología!G11=Tecnología!G$42, 1, 0)))</f>
        <v>1</v>
      </c>
      <c r="I4" s="5">
        <f ca="1">IF(H4=0, 0, IF(I$2=0, 1, IF(Tecnología!H11=Tecnología!H$42, 1, 0)))</f>
        <v>1</v>
      </c>
      <c r="J4" s="5">
        <f ca="1">IF(I4=0, 0, IF(J$2=0, 1, IF(Tecnología!I11=Tecnología!I$42, 1, 0)))</f>
        <v>1</v>
      </c>
      <c r="K4" s="5">
        <f ca="1">IF(J4=0, 0, IF(K$2=0, 1, IF(Tecnología!J11=Tecnología!J$42, 1, 0)))</f>
        <v>1</v>
      </c>
      <c r="L4" s="5">
        <f ca="1">IF(K4=0, 0, IF(L$2=0, 1, IF(Tecnología!K11=Tecnología!K$42, 1, 0)))</f>
        <v>1</v>
      </c>
      <c r="M4" s="5">
        <f ca="1">IF(L4=0, 0, IF(M$2=0, 1, IF(Tecnología!L11=Tecnología!L$42, 1, 0)))</f>
        <v>1</v>
      </c>
      <c r="N4" s="5">
        <f ca="1">IF(M4=0, 0, IF(N$2=0, 1, IF(Tecnología!M11=Tecnología!M$42, 1, 0)))</f>
        <v>1</v>
      </c>
      <c r="O4" s="5">
        <f ca="1">IF(N4=0, 0, IF(O$2=0, 1, IF(Tecnología!N11=Tecnología!N$42, 1, 0)))</f>
        <v>1</v>
      </c>
      <c r="P4" s="5">
        <f ca="1">IF(O4=0, 0, IF(P$2=0, 1, IF(Tecnología!O11=Tecnología!O$42, 1, 0)))</f>
        <v>1</v>
      </c>
      <c r="Q4" s="5">
        <f ca="1">IF(P4=0, 0, IF(Q$2=0, 1, IF(Tecnología!P11=Tecnología!P$42, 1, 0)))</f>
        <v>1</v>
      </c>
      <c r="R4" s="5">
        <f ca="1">IF(Q4=0, 0, IF(R$2=0, 1, IF(Tecnología!Q11=Tecnología!Q$42, 1, 0)))</f>
        <v>1</v>
      </c>
      <c r="S4" s="5">
        <f ca="1">IF(R4=0, 0, IF(S$2=0, 1, IF(Tecnología!R11=Tecnología!R$42, 1, 0)))</f>
        <v>1</v>
      </c>
      <c r="T4" s="5">
        <f ca="1">IF(S4=0, 0, IF(T$2=0, 1, IF(Tecnología!S11=Tecnología!S$42, 1, 0)))</f>
        <v>1</v>
      </c>
      <c r="U4" s="5">
        <f ca="1">IF(T4=0, 0, IF(U$2=0, 1, IF(Tecnología!T11=Tecnología!T$42, 1, 0)))</f>
        <v>1</v>
      </c>
      <c r="V4" s="5">
        <f ca="1">IF(U4=0, 0, IF(V$2=0, 1, IF(Tecnología!U11=Tecnología!U$42, 1, 0)))</f>
        <v>1</v>
      </c>
    </row>
    <row r="5" spans="1:22" s="2" customFormat="1" x14ac:dyDescent="0.35">
      <c r="A5" s="1">
        <v>2</v>
      </c>
      <c r="B5" s="3">
        <v>1</v>
      </c>
      <c r="C5" s="5">
        <f>IF(B5=0, 0, IF(C$2=0, 1, IF(Tecnología!B12=Tecnología!B$42, 1, 0)))</f>
        <v>1</v>
      </c>
      <c r="D5" s="5">
        <f>IF(C5=0, 0, IF(D$2=0, 1, IF(Tecnología!C12=Tecnología!C$42, 1, 0)))</f>
        <v>1</v>
      </c>
      <c r="E5" s="5">
        <f>IF(D5=0, 0, IF(E$2=0, 1, IF(Tecnología!D12=Tecnología!D$42, 1, 0)))</f>
        <v>1</v>
      </c>
      <c r="F5" s="5">
        <f>IF(E5=0, 0, IF(F$2=0, 1, IF(Tecnología!E12=Tecnología!E$42, 1, 0)))</f>
        <v>1</v>
      </c>
      <c r="G5" s="5">
        <f ca="1">IF(F5=0, 0, IF(G$2=0, 1, IF(Tecnología!F12=Tecnología!F$42, 1, 0)))</f>
        <v>1</v>
      </c>
      <c r="H5" s="5">
        <f ca="1">IF(G5=0, 0, IF(H$2=0, 1, IF(Tecnología!G12=Tecnología!G$42, 1, 0)))</f>
        <v>1</v>
      </c>
      <c r="I5" s="5">
        <f ca="1">IF(H5=0, 0, IF(I$2=0, 1, IF(Tecnología!H12=Tecnología!H$42, 1, 0)))</f>
        <v>1</v>
      </c>
      <c r="J5" s="5">
        <f ca="1">IF(I5=0, 0, IF(J$2=0, 1, IF(Tecnología!I12=Tecnología!I$42, 1, 0)))</f>
        <v>1</v>
      </c>
      <c r="K5" s="5">
        <f ca="1">IF(J5=0, 0, IF(K$2=0, 1, IF(Tecnología!J12=Tecnología!J$42, 1, 0)))</f>
        <v>1</v>
      </c>
      <c r="L5" s="5">
        <f ca="1">IF(K5=0, 0, IF(L$2=0, 1, IF(Tecnología!K12=Tecnología!K$42, 1, 0)))</f>
        <v>1</v>
      </c>
      <c r="M5" s="5">
        <f ca="1">IF(L5=0, 0, IF(M$2=0, 1, IF(Tecnología!L12=Tecnología!L$42, 1, 0)))</f>
        <v>1</v>
      </c>
      <c r="N5" s="5">
        <f ca="1">IF(M5=0, 0, IF(N$2=0, 1, IF(Tecnología!M12=Tecnología!M$42, 1, 0)))</f>
        <v>1</v>
      </c>
      <c r="O5" s="5">
        <f ca="1">IF(N5=0, 0, IF(O$2=0, 1, IF(Tecnología!N12=Tecnología!N$42, 1, 0)))</f>
        <v>1</v>
      </c>
      <c r="P5" s="5">
        <f ca="1">IF(O5=0, 0, IF(P$2=0, 1, IF(Tecnología!O12=Tecnología!O$42, 1, 0)))</f>
        <v>1</v>
      </c>
      <c r="Q5" s="5">
        <f ca="1">IF(P5=0, 0, IF(Q$2=0, 1, IF(Tecnología!P12=Tecnología!P$42, 1, 0)))</f>
        <v>1</v>
      </c>
      <c r="R5" s="5">
        <f ca="1">IF(Q5=0, 0, IF(R$2=0, 1, IF(Tecnología!Q12=Tecnología!Q$42, 1, 0)))</f>
        <v>1</v>
      </c>
      <c r="S5" s="5">
        <f ca="1">IF(R5=0, 0, IF(S$2=0, 1, IF(Tecnología!R12=Tecnología!R$42, 1, 0)))</f>
        <v>1</v>
      </c>
      <c r="T5" s="5">
        <f ca="1">IF(S5=0, 0, IF(T$2=0, 1, IF(Tecnología!S12=Tecnología!S$42, 1, 0)))</f>
        <v>1</v>
      </c>
      <c r="U5" s="5">
        <f ca="1">IF(T5=0, 0, IF(U$2=0, 1, IF(Tecnología!T12=Tecnología!T$42, 1, 0)))</f>
        <v>1</v>
      </c>
      <c r="V5" s="5">
        <f ca="1">IF(U5=0, 0, IF(V$2=0, 1, IF(Tecnología!U12=Tecnología!U$42, 1, 0)))</f>
        <v>1</v>
      </c>
    </row>
    <row r="6" spans="1:22" s="2" customFormat="1" x14ac:dyDescent="0.35">
      <c r="A6" s="1">
        <v>3</v>
      </c>
      <c r="B6" s="3">
        <v>1</v>
      </c>
      <c r="C6" s="5">
        <f>IF(B6=0, 0, IF(C$2=0, 1, IF(Tecnología!B13=Tecnología!B$42, 1, 0)))</f>
        <v>1</v>
      </c>
      <c r="D6" s="5">
        <f>IF(C6=0, 0, IF(D$2=0, 1, IF(Tecnología!C13=Tecnología!C$42, 1, 0)))</f>
        <v>1</v>
      </c>
      <c r="E6" s="5">
        <f>IF(D6=0, 0, IF(E$2=0, 1, IF(Tecnología!D13=Tecnología!D$42, 1, 0)))</f>
        <v>1</v>
      </c>
      <c r="F6" s="5">
        <f>IF(E6=0, 0, IF(F$2=0, 1, IF(Tecnología!E13=Tecnología!E$42, 1, 0)))</f>
        <v>1</v>
      </c>
      <c r="G6" s="5">
        <f ca="1">IF(F6=0, 0, IF(G$2=0, 1, IF(Tecnología!F13=Tecnología!F$42, 1, 0)))</f>
        <v>1</v>
      </c>
      <c r="H6" s="5">
        <f ca="1">IF(G6=0, 0, IF(H$2=0, 1, IF(Tecnología!G13=Tecnología!G$42, 1, 0)))</f>
        <v>1</v>
      </c>
      <c r="I6" s="5">
        <f ca="1">IF(H6=0, 0, IF(I$2=0, 1, IF(Tecnología!H13=Tecnología!H$42, 1, 0)))</f>
        <v>1</v>
      </c>
      <c r="J6" s="5">
        <f ca="1">IF(I6=0, 0, IF(J$2=0, 1, IF(Tecnología!I13=Tecnología!I$42, 1, 0)))</f>
        <v>1</v>
      </c>
      <c r="K6" s="5">
        <f ca="1">IF(J6=0, 0, IF(K$2=0, 1, IF(Tecnología!J13=Tecnología!J$42, 1, 0)))</f>
        <v>1</v>
      </c>
      <c r="L6" s="5">
        <f ca="1">IF(K6=0, 0, IF(L$2=0, 1, IF(Tecnología!K13=Tecnología!K$42, 1, 0)))</f>
        <v>1</v>
      </c>
      <c r="M6" s="5">
        <f ca="1">IF(L6=0, 0, IF(M$2=0, 1, IF(Tecnología!L13=Tecnología!L$42, 1, 0)))</f>
        <v>1</v>
      </c>
      <c r="N6" s="5">
        <f ca="1">IF(M6=0, 0, IF(N$2=0, 1, IF(Tecnología!M13=Tecnología!M$42, 1, 0)))</f>
        <v>1</v>
      </c>
      <c r="O6" s="5">
        <f ca="1">IF(N6=0, 0, IF(O$2=0, 1, IF(Tecnología!N13=Tecnología!N$42, 1, 0)))</f>
        <v>1</v>
      </c>
      <c r="P6" s="5">
        <f ca="1">IF(O6=0, 0, IF(P$2=0, 1, IF(Tecnología!O13=Tecnología!O$42, 1, 0)))</f>
        <v>1</v>
      </c>
      <c r="Q6" s="5">
        <f ca="1">IF(P6=0, 0, IF(Q$2=0, 1, IF(Tecnología!P13=Tecnología!P$42, 1, 0)))</f>
        <v>1</v>
      </c>
      <c r="R6" s="5">
        <f ca="1">IF(Q6=0, 0, IF(R$2=0, 1, IF(Tecnología!Q13=Tecnología!Q$42, 1, 0)))</f>
        <v>1</v>
      </c>
      <c r="S6" s="5">
        <f ca="1">IF(R6=0, 0, IF(S$2=0, 1, IF(Tecnología!R13=Tecnología!R$42, 1, 0)))</f>
        <v>0</v>
      </c>
      <c r="T6" s="5">
        <f ca="1">IF(S6=0, 0, IF(T$2=0, 1, IF(Tecnología!S13=Tecnología!S$42, 1, 0)))</f>
        <v>0</v>
      </c>
      <c r="U6" s="5">
        <f ca="1">IF(T6=0, 0, IF(U$2=0, 1, IF(Tecnología!T13=Tecnología!T$42, 1, 0)))</f>
        <v>0</v>
      </c>
      <c r="V6" s="5">
        <f ca="1">IF(U6=0, 0, IF(V$2=0, 1, IF(Tecnología!U13=Tecnología!U$42, 1, 0)))</f>
        <v>0</v>
      </c>
    </row>
    <row r="7" spans="1:22" s="2" customFormat="1" x14ac:dyDescent="0.35">
      <c r="A7" s="1">
        <v>4</v>
      </c>
      <c r="B7" s="3">
        <v>1</v>
      </c>
      <c r="C7" s="5">
        <f>IF(B7=0, 0, IF(C$2=0, 1, IF(Tecnología!B14=Tecnología!B$42, 1, 0)))</f>
        <v>1</v>
      </c>
      <c r="D7" s="5">
        <f>IF(C7=0, 0, IF(D$2=0, 1, IF(Tecnología!C14=Tecnología!C$42, 1, 0)))</f>
        <v>1</v>
      </c>
      <c r="E7" s="5">
        <f>IF(D7=0, 0, IF(E$2=0, 1, IF(Tecnología!D14=Tecnología!D$42, 1, 0)))</f>
        <v>1</v>
      </c>
      <c r="F7" s="5">
        <f>IF(E7=0, 0, IF(F$2=0, 1, IF(Tecnología!E14=Tecnología!E$42, 1, 0)))</f>
        <v>1</v>
      </c>
      <c r="G7" s="5">
        <f ca="1">IF(F7=0, 0, IF(G$2=0, 1, IF(Tecnología!F14=Tecnología!F$42, 1, 0)))</f>
        <v>1</v>
      </c>
      <c r="H7" s="5">
        <f ca="1">IF(G7=0, 0, IF(H$2=0, 1, IF(Tecnología!G14=Tecnología!G$42, 1, 0)))</f>
        <v>1</v>
      </c>
      <c r="I7" s="5">
        <f ca="1">IF(H7=0, 0, IF(I$2=0, 1, IF(Tecnología!H14=Tecnología!H$42, 1, 0)))</f>
        <v>1</v>
      </c>
      <c r="J7" s="5">
        <f ca="1">IF(I7=0, 0, IF(J$2=0, 1, IF(Tecnología!I14=Tecnología!I$42, 1, 0)))</f>
        <v>1</v>
      </c>
      <c r="K7" s="5">
        <f ca="1">IF(J7=0, 0, IF(K$2=0, 1, IF(Tecnología!J14=Tecnología!J$42, 1, 0)))</f>
        <v>1</v>
      </c>
      <c r="L7" s="5">
        <f ca="1">IF(K7=0, 0, IF(L$2=0, 1, IF(Tecnología!K14=Tecnología!K$42, 1, 0)))</f>
        <v>1</v>
      </c>
      <c r="M7" s="5">
        <f ca="1">IF(L7=0, 0, IF(M$2=0, 1, IF(Tecnología!L14=Tecnología!L$42, 1, 0)))</f>
        <v>1</v>
      </c>
      <c r="N7" s="5">
        <f ca="1">IF(M7=0, 0, IF(N$2=0, 1, IF(Tecnología!M14=Tecnología!M$42, 1, 0)))</f>
        <v>1</v>
      </c>
      <c r="O7" s="5">
        <f ca="1">IF(N7=0, 0, IF(O$2=0, 1, IF(Tecnología!N14=Tecnología!N$42, 1, 0)))</f>
        <v>1</v>
      </c>
      <c r="P7" s="5">
        <f ca="1">IF(O7=0, 0, IF(P$2=0, 1, IF(Tecnología!O14=Tecnología!O$42, 1, 0)))</f>
        <v>1</v>
      </c>
      <c r="Q7" s="5">
        <f ca="1">IF(P7=0, 0, IF(Q$2=0, 1, IF(Tecnología!P14=Tecnología!P$42, 1, 0)))</f>
        <v>1</v>
      </c>
      <c r="R7" s="5">
        <f ca="1">IF(Q7=0, 0, IF(R$2=0, 1, IF(Tecnología!Q14=Tecnología!Q$42, 1, 0)))</f>
        <v>1</v>
      </c>
      <c r="S7" s="5">
        <f ca="1">IF(R7=0, 0, IF(S$2=0, 1, IF(Tecnología!R14=Tecnología!R$42, 1, 0)))</f>
        <v>1</v>
      </c>
      <c r="T7" s="5">
        <f ca="1">IF(S7=0, 0, IF(T$2=0, 1, IF(Tecnología!S14=Tecnología!S$42, 1, 0)))</f>
        <v>1</v>
      </c>
      <c r="U7" s="5">
        <f ca="1">IF(T7=0, 0, IF(U$2=0, 1, IF(Tecnología!T14=Tecnología!T$42, 1, 0)))</f>
        <v>1</v>
      </c>
      <c r="V7" s="5">
        <f ca="1">IF(U7=0, 0, IF(V$2=0, 1, IF(Tecnología!U14=Tecnología!U$42, 1, 0)))</f>
        <v>1</v>
      </c>
    </row>
    <row r="8" spans="1:22" s="2" customFormat="1" x14ac:dyDescent="0.35">
      <c r="A8" s="1">
        <v>5</v>
      </c>
      <c r="B8" s="3">
        <v>1</v>
      </c>
      <c r="C8" s="5">
        <f>IF(B8=0, 0, IF(C$2=0, 1, IF(Tecnología!B15=Tecnología!B$42, 1, 0)))</f>
        <v>1</v>
      </c>
      <c r="D8" s="5">
        <f>IF(C8=0, 0, IF(D$2=0, 1, IF(Tecnología!C15=Tecnología!C$42, 1, 0)))</f>
        <v>1</v>
      </c>
      <c r="E8" s="5">
        <f>IF(D8=0, 0, IF(E$2=0, 1, IF(Tecnología!D15=Tecnología!D$42, 1, 0)))</f>
        <v>1</v>
      </c>
      <c r="F8" s="5">
        <f>IF(E8=0, 0, IF(F$2=0, 1, IF(Tecnología!E15=Tecnología!E$42, 1, 0)))</f>
        <v>1</v>
      </c>
      <c r="G8" s="5">
        <f ca="1">IF(F8=0, 0, IF(G$2=0, 1, IF(Tecnología!F15=Tecnología!F$42, 1, 0)))</f>
        <v>1</v>
      </c>
      <c r="H8" s="5">
        <f ca="1">IF(G8=0, 0, IF(H$2=0, 1, IF(Tecnología!G15=Tecnología!G$42, 1, 0)))</f>
        <v>1</v>
      </c>
      <c r="I8" s="5">
        <f ca="1">IF(H8=0, 0, IF(I$2=0, 1, IF(Tecnología!H15=Tecnología!H$42, 1, 0)))</f>
        <v>1</v>
      </c>
      <c r="J8" s="5">
        <f ca="1">IF(I8=0, 0, IF(J$2=0, 1, IF(Tecnología!I15=Tecnología!I$42, 1, 0)))</f>
        <v>1</v>
      </c>
      <c r="K8" s="5">
        <f ca="1">IF(J8=0, 0, IF(K$2=0, 1, IF(Tecnología!J15=Tecnología!J$42, 1, 0)))</f>
        <v>1</v>
      </c>
      <c r="L8" s="5">
        <f ca="1">IF(K8=0, 0, IF(L$2=0, 1, IF(Tecnología!K15=Tecnología!K$42, 1, 0)))</f>
        <v>1</v>
      </c>
      <c r="M8" s="5">
        <f ca="1">IF(L8=0, 0, IF(M$2=0, 1, IF(Tecnología!L15=Tecnología!L$42, 1, 0)))</f>
        <v>1</v>
      </c>
      <c r="N8" s="5">
        <f ca="1">IF(M8=0, 0, IF(N$2=0, 1, IF(Tecnología!M15=Tecnología!M$42, 1, 0)))</f>
        <v>1</v>
      </c>
      <c r="O8" s="5">
        <f ca="1">IF(N8=0, 0, IF(O$2=0, 1, IF(Tecnología!N15=Tecnología!N$42, 1, 0)))</f>
        <v>0</v>
      </c>
      <c r="P8" s="5">
        <f ca="1">IF(O8=0, 0, IF(P$2=0, 1, IF(Tecnología!O15=Tecnología!O$42, 1, 0)))</f>
        <v>0</v>
      </c>
      <c r="Q8" s="5">
        <f ca="1">IF(P8=0, 0, IF(Q$2=0, 1, IF(Tecnología!P15=Tecnología!P$42, 1, 0)))</f>
        <v>0</v>
      </c>
      <c r="R8" s="5">
        <f ca="1">IF(Q8=0, 0, IF(R$2=0, 1, IF(Tecnología!Q15=Tecnología!Q$42, 1, 0)))</f>
        <v>0</v>
      </c>
      <c r="S8" s="5">
        <f ca="1">IF(R8=0, 0, IF(S$2=0, 1, IF(Tecnología!R15=Tecnología!R$42, 1, 0)))</f>
        <v>0</v>
      </c>
      <c r="T8" s="5">
        <f ca="1">IF(S8=0, 0, IF(T$2=0, 1, IF(Tecnología!S15=Tecnología!S$42, 1, 0)))</f>
        <v>0</v>
      </c>
      <c r="U8" s="5">
        <f ca="1">IF(T8=0, 0, IF(U$2=0, 1, IF(Tecnología!T15=Tecnología!T$42, 1, 0)))</f>
        <v>0</v>
      </c>
      <c r="V8" s="5">
        <f ca="1">IF(U8=0, 0, IF(V$2=0, 1, IF(Tecnología!U15=Tecnología!U$42, 1, 0)))</f>
        <v>0</v>
      </c>
    </row>
    <row r="9" spans="1:22" s="2" customFormat="1" x14ac:dyDescent="0.35">
      <c r="A9" s="1">
        <v>6</v>
      </c>
      <c r="B9" s="3">
        <v>1</v>
      </c>
      <c r="C9" s="5">
        <f>IF(B9=0, 0, IF(C$2=0, 1, IF(Tecnología!B16=Tecnología!B$42, 1, 0)))</f>
        <v>1</v>
      </c>
      <c r="D9" s="5">
        <f>IF(C9=0, 0, IF(D$2=0, 1, IF(Tecnología!C16=Tecnología!C$42, 1, 0)))</f>
        <v>1</v>
      </c>
      <c r="E9" s="5">
        <f>IF(D9=0, 0, IF(E$2=0, 1, IF(Tecnología!D16=Tecnología!D$42, 1, 0)))</f>
        <v>1</v>
      </c>
      <c r="F9" s="5">
        <f>IF(E9=0, 0, IF(F$2=0, 1, IF(Tecnología!E16=Tecnología!E$42, 1, 0)))</f>
        <v>1</v>
      </c>
      <c r="G9" s="5">
        <f ca="1">IF(F9=0, 0, IF(G$2=0, 1, IF(Tecnología!F16=Tecnología!F$42, 1, 0)))</f>
        <v>1</v>
      </c>
      <c r="H9" s="5">
        <f ca="1">IF(G9=0, 0, IF(H$2=0, 1, IF(Tecnología!G16=Tecnología!G$42, 1, 0)))</f>
        <v>1</v>
      </c>
      <c r="I9" s="5">
        <f ca="1">IF(H9=0, 0, IF(I$2=0, 1, IF(Tecnología!H16=Tecnología!H$42, 1, 0)))</f>
        <v>1</v>
      </c>
      <c r="J9" s="5">
        <f ca="1">IF(I9=0, 0, IF(J$2=0, 1, IF(Tecnología!I16=Tecnología!I$42, 1, 0)))</f>
        <v>1</v>
      </c>
      <c r="K9" s="5">
        <f ca="1">IF(J9=0, 0, IF(K$2=0, 1, IF(Tecnología!J16=Tecnología!J$42, 1, 0)))</f>
        <v>0</v>
      </c>
      <c r="L9" s="5">
        <f ca="1">IF(K9=0, 0, IF(L$2=0, 1, IF(Tecnología!K16=Tecnología!K$42, 1, 0)))</f>
        <v>0</v>
      </c>
      <c r="M9" s="5">
        <f ca="1">IF(L9=0, 0, IF(M$2=0, 1, IF(Tecnología!L16=Tecnología!L$42, 1, 0)))</f>
        <v>0</v>
      </c>
      <c r="N9" s="5">
        <f ca="1">IF(M9=0, 0, IF(N$2=0, 1, IF(Tecnología!M16=Tecnología!M$42, 1, 0)))</f>
        <v>0</v>
      </c>
      <c r="O9" s="5">
        <f ca="1">IF(N9=0, 0, IF(O$2=0, 1, IF(Tecnología!N16=Tecnología!N$42, 1, 0)))</f>
        <v>0</v>
      </c>
      <c r="P9" s="5">
        <f ca="1">IF(O9=0, 0, IF(P$2=0, 1, IF(Tecnología!O16=Tecnología!O$42, 1, 0)))</f>
        <v>0</v>
      </c>
      <c r="Q9" s="5">
        <f ca="1">IF(P9=0, 0, IF(Q$2=0, 1, IF(Tecnología!P16=Tecnología!P$42, 1, 0)))</f>
        <v>0</v>
      </c>
      <c r="R9" s="5">
        <f ca="1">IF(Q9=0, 0, IF(R$2=0, 1, IF(Tecnología!Q16=Tecnología!Q$42, 1, 0)))</f>
        <v>0</v>
      </c>
      <c r="S9" s="5">
        <f ca="1">IF(R9=0, 0, IF(S$2=0, 1, IF(Tecnología!R16=Tecnología!R$42, 1, 0)))</f>
        <v>0</v>
      </c>
      <c r="T9" s="5">
        <f ca="1">IF(S9=0, 0, IF(T$2=0, 1, IF(Tecnología!S16=Tecnología!S$42, 1, 0)))</f>
        <v>0</v>
      </c>
      <c r="U9" s="5">
        <f ca="1">IF(T9=0, 0, IF(U$2=0, 1, IF(Tecnología!T16=Tecnología!T$42, 1, 0)))</f>
        <v>0</v>
      </c>
      <c r="V9" s="5">
        <f ca="1">IF(U9=0, 0, IF(V$2=0, 1, IF(Tecnología!U16=Tecnología!U$42, 1, 0)))</f>
        <v>0</v>
      </c>
    </row>
    <row r="10" spans="1:22" s="2" customFormat="1" x14ac:dyDescent="0.35">
      <c r="A10" s="1">
        <v>7</v>
      </c>
      <c r="B10" s="3">
        <v>1</v>
      </c>
      <c r="C10" s="5">
        <f>IF(B10=0, 0, IF(C$2=0, 1, IF(Tecnología!B17=Tecnología!B$42, 1, 0)))</f>
        <v>1</v>
      </c>
      <c r="D10" s="5">
        <f>IF(C10=0, 0, IF(D$2=0, 1, IF(Tecnología!C17=Tecnología!C$42, 1, 0)))</f>
        <v>1</v>
      </c>
      <c r="E10" s="5">
        <f>IF(D10=0, 0, IF(E$2=0, 1, IF(Tecnología!D17=Tecnología!D$42, 1, 0)))</f>
        <v>1</v>
      </c>
      <c r="F10" s="5">
        <f>IF(E10=0, 0, IF(F$2=0, 1, IF(Tecnología!E17=Tecnología!E$42, 1, 0)))</f>
        <v>1</v>
      </c>
      <c r="G10" s="5">
        <f ca="1">IF(F10=0, 0, IF(G$2=0, 1, IF(Tecnología!F17=Tecnología!F$42, 1, 0)))</f>
        <v>1</v>
      </c>
      <c r="H10" s="5">
        <f ca="1">IF(G10=0, 0, IF(H$2=0, 1, IF(Tecnología!G17=Tecnología!G$42, 1, 0)))</f>
        <v>1</v>
      </c>
      <c r="I10" s="5">
        <f ca="1">IF(H10=0, 0, IF(I$2=0, 1, IF(Tecnología!H17=Tecnología!H$42, 1, 0)))</f>
        <v>1</v>
      </c>
      <c r="J10" s="5">
        <f ca="1">IF(I10=0, 0, IF(J$2=0, 1, IF(Tecnología!I17=Tecnología!I$42, 1, 0)))</f>
        <v>1</v>
      </c>
      <c r="K10" s="5">
        <f ca="1">IF(J10=0, 0, IF(K$2=0, 1, IF(Tecnología!J17=Tecnología!J$42, 1, 0)))</f>
        <v>1</v>
      </c>
      <c r="L10" s="5">
        <f ca="1">IF(K10=0, 0, IF(L$2=0, 1, IF(Tecnología!K17=Tecnología!K$42, 1, 0)))</f>
        <v>1</v>
      </c>
      <c r="M10" s="5">
        <f ca="1">IF(L10=0, 0, IF(M$2=0, 1, IF(Tecnología!L17=Tecnología!L$42, 1, 0)))</f>
        <v>1</v>
      </c>
      <c r="N10" s="5">
        <f ca="1">IF(M10=0, 0, IF(N$2=0, 1, IF(Tecnología!M17=Tecnología!M$42, 1, 0)))</f>
        <v>1</v>
      </c>
      <c r="O10" s="5">
        <f ca="1">IF(N10=0, 0, IF(O$2=0, 1, IF(Tecnología!N17=Tecnología!N$42, 1, 0)))</f>
        <v>1</v>
      </c>
      <c r="P10" s="5">
        <f ca="1">IF(O10=0, 0, IF(P$2=0, 1, IF(Tecnología!O17=Tecnología!O$42, 1, 0)))</f>
        <v>1</v>
      </c>
      <c r="Q10" s="5">
        <f ca="1">IF(P10=0, 0, IF(Q$2=0, 1, IF(Tecnología!P17=Tecnología!P$42, 1, 0)))</f>
        <v>1</v>
      </c>
      <c r="R10" s="5">
        <f ca="1">IF(Q10=0, 0, IF(R$2=0, 1, IF(Tecnología!Q17=Tecnología!Q$42, 1, 0)))</f>
        <v>1</v>
      </c>
      <c r="S10" s="5">
        <f ca="1">IF(R10=0, 0, IF(S$2=0, 1, IF(Tecnología!R17=Tecnología!R$42, 1, 0)))</f>
        <v>0</v>
      </c>
      <c r="T10" s="5">
        <f ca="1">IF(S10=0, 0, IF(T$2=0, 1, IF(Tecnología!S17=Tecnología!S$42, 1, 0)))</f>
        <v>0</v>
      </c>
      <c r="U10" s="5">
        <f ca="1">IF(T10=0, 0, IF(U$2=0, 1, IF(Tecnología!T17=Tecnología!T$42, 1, 0)))</f>
        <v>0</v>
      </c>
      <c r="V10" s="5">
        <f ca="1">IF(U10=0, 0, IF(V$2=0, 1, IF(Tecnología!U17=Tecnología!U$42, 1, 0)))</f>
        <v>0</v>
      </c>
    </row>
    <row r="11" spans="1:22" s="2" customFormat="1" x14ac:dyDescent="0.35">
      <c r="A11" s="1">
        <v>8</v>
      </c>
      <c r="B11" s="3">
        <v>1</v>
      </c>
      <c r="C11" s="5">
        <f>IF(B11=0, 0, IF(C$2=0, 1, IF(Tecnología!B18=Tecnología!B$42, 1, 0)))</f>
        <v>1</v>
      </c>
      <c r="D11" s="5">
        <f>IF(C11=0, 0, IF(D$2=0, 1, IF(Tecnología!C18=Tecnología!C$42, 1, 0)))</f>
        <v>1</v>
      </c>
      <c r="E11" s="5">
        <f>IF(D11=0, 0, IF(E$2=0, 1, IF(Tecnología!D18=Tecnología!D$42, 1, 0)))</f>
        <v>1</v>
      </c>
      <c r="F11" s="5">
        <f>IF(E11=0, 0, IF(F$2=0, 1, IF(Tecnología!E18=Tecnología!E$42, 1, 0)))</f>
        <v>1</v>
      </c>
      <c r="G11" s="5">
        <f ca="1">IF(F11=0, 0, IF(G$2=0, 1, IF(Tecnología!F18=Tecnología!F$42, 1, 0)))</f>
        <v>1</v>
      </c>
      <c r="H11" s="5">
        <f ca="1">IF(G11=0, 0, IF(H$2=0, 1, IF(Tecnología!G18=Tecnología!G$42, 1, 0)))</f>
        <v>1</v>
      </c>
      <c r="I11" s="5">
        <f ca="1">IF(H11=0, 0, IF(I$2=0, 1, IF(Tecnología!H18=Tecnología!H$42, 1, 0)))</f>
        <v>1</v>
      </c>
      <c r="J11" s="5">
        <f ca="1">IF(I11=0, 0, IF(J$2=0, 1, IF(Tecnología!I18=Tecnología!I$42, 1, 0)))</f>
        <v>1</v>
      </c>
      <c r="K11" s="5">
        <f ca="1">IF(J11=0, 0, IF(K$2=0, 1, IF(Tecnología!J18=Tecnología!J$42, 1, 0)))</f>
        <v>1</v>
      </c>
      <c r="L11" s="5">
        <f ca="1">IF(K11=0, 0, IF(L$2=0, 1, IF(Tecnología!K18=Tecnología!K$42, 1, 0)))</f>
        <v>1</v>
      </c>
      <c r="M11" s="5">
        <f ca="1">IF(L11=0, 0, IF(M$2=0, 1, IF(Tecnología!L18=Tecnología!L$42, 1, 0)))</f>
        <v>1</v>
      </c>
      <c r="N11" s="5">
        <f ca="1">IF(M11=0, 0, IF(N$2=0, 1, IF(Tecnología!M18=Tecnología!M$42, 1, 0)))</f>
        <v>1</v>
      </c>
      <c r="O11" s="5">
        <f ca="1">IF(N11=0, 0, IF(O$2=0, 1, IF(Tecnología!N18=Tecnología!N$42, 1, 0)))</f>
        <v>1</v>
      </c>
      <c r="P11" s="5">
        <f ca="1">IF(O11=0, 0, IF(P$2=0, 1, IF(Tecnología!O18=Tecnología!O$42, 1, 0)))</f>
        <v>1</v>
      </c>
      <c r="Q11" s="5">
        <f ca="1">IF(P11=0, 0, IF(Q$2=0, 1, IF(Tecnología!P18=Tecnología!P$42, 1, 0)))</f>
        <v>1</v>
      </c>
      <c r="R11" s="5">
        <f ca="1">IF(Q11=0, 0, IF(R$2=0, 1, IF(Tecnología!Q18=Tecnología!Q$42, 1, 0)))</f>
        <v>1</v>
      </c>
      <c r="S11" s="5">
        <f ca="1">IF(R11=0, 0, IF(S$2=0, 1, IF(Tecnología!R18=Tecnología!R$42, 1, 0)))</f>
        <v>0</v>
      </c>
      <c r="T11" s="5">
        <f ca="1">IF(S11=0, 0, IF(T$2=0, 1, IF(Tecnología!S18=Tecnología!S$42, 1, 0)))</f>
        <v>0</v>
      </c>
      <c r="U11" s="5">
        <f ca="1">IF(T11=0, 0, IF(U$2=0, 1, IF(Tecnología!T18=Tecnología!T$42, 1, 0)))</f>
        <v>0</v>
      </c>
      <c r="V11" s="5">
        <f ca="1">IF(U11=0, 0, IF(V$2=0, 1, IF(Tecnología!U18=Tecnología!U$42, 1, 0)))</f>
        <v>0</v>
      </c>
    </row>
    <row r="12" spans="1:22" s="2" customFormat="1" x14ac:dyDescent="0.35">
      <c r="A12" s="1">
        <v>9</v>
      </c>
      <c r="B12" s="3">
        <v>1</v>
      </c>
      <c r="C12" s="5">
        <f>IF(B12=0, 0, IF(C$2=0, 1, IF(Tecnología!B19=Tecnología!B$42, 1, 0)))</f>
        <v>1</v>
      </c>
      <c r="D12" s="5">
        <f>IF(C12=0, 0, IF(D$2=0, 1, IF(Tecnología!C19=Tecnología!C$42, 1, 0)))</f>
        <v>1</v>
      </c>
      <c r="E12" s="5">
        <f>IF(D12=0, 0, IF(E$2=0, 1, IF(Tecnología!D19=Tecnología!D$42, 1, 0)))</f>
        <v>1</v>
      </c>
      <c r="F12" s="5">
        <f>IF(E12=0, 0, IF(F$2=0, 1, IF(Tecnología!E19=Tecnología!E$42, 1, 0)))</f>
        <v>1</v>
      </c>
      <c r="G12" s="5">
        <f ca="1">IF(F12=0, 0, IF(G$2=0, 1, IF(Tecnología!F19=Tecnología!F$42, 1, 0)))</f>
        <v>1</v>
      </c>
      <c r="H12" s="5">
        <f ca="1">IF(G12=0, 0, IF(H$2=0, 1, IF(Tecnología!G19=Tecnología!G$42, 1, 0)))</f>
        <v>1</v>
      </c>
      <c r="I12" s="5">
        <f ca="1">IF(H12=0, 0, IF(I$2=0, 1, IF(Tecnología!H19=Tecnología!H$42, 1, 0)))</f>
        <v>1</v>
      </c>
      <c r="J12" s="5">
        <f ca="1">IF(I12=0, 0, IF(J$2=0, 1, IF(Tecnología!I19=Tecnología!I$42, 1, 0)))</f>
        <v>1</v>
      </c>
      <c r="K12" s="5">
        <f ca="1">IF(J12=0, 0, IF(K$2=0, 1, IF(Tecnología!J19=Tecnología!J$42, 1, 0)))</f>
        <v>0</v>
      </c>
      <c r="L12" s="5">
        <f ca="1">IF(K12=0, 0, IF(L$2=0, 1, IF(Tecnología!K19=Tecnología!K$42, 1, 0)))</f>
        <v>0</v>
      </c>
      <c r="M12" s="5">
        <f ca="1">IF(L12=0, 0, IF(M$2=0, 1, IF(Tecnología!L19=Tecnología!L$42, 1, 0)))</f>
        <v>0</v>
      </c>
      <c r="N12" s="5">
        <f ca="1">IF(M12=0, 0, IF(N$2=0, 1, IF(Tecnología!M19=Tecnología!M$42, 1, 0)))</f>
        <v>0</v>
      </c>
      <c r="O12" s="5">
        <f ca="1">IF(N12=0, 0, IF(O$2=0, 1, IF(Tecnología!N19=Tecnología!N$42, 1, 0)))</f>
        <v>0</v>
      </c>
      <c r="P12" s="5">
        <f ca="1">IF(O12=0, 0, IF(P$2=0, 1, IF(Tecnología!O19=Tecnología!O$42, 1, 0)))</f>
        <v>0</v>
      </c>
      <c r="Q12" s="5">
        <f ca="1">IF(P12=0, 0, IF(Q$2=0, 1, IF(Tecnología!P19=Tecnología!P$42, 1, 0)))</f>
        <v>0</v>
      </c>
      <c r="R12" s="5">
        <f ca="1">IF(Q12=0, 0, IF(R$2=0, 1, IF(Tecnología!Q19=Tecnología!Q$42, 1, 0)))</f>
        <v>0</v>
      </c>
      <c r="S12" s="5">
        <f ca="1">IF(R12=0, 0, IF(S$2=0, 1, IF(Tecnología!R19=Tecnología!R$42, 1, 0)))</f>
        <v>0</v>
      </c>
      <c r="T12" s="5">
        <f ca="1">IF(S12=0, 0, IF(T$2=0, 1, IF(Tecnología!S19=Tecnología!S$42, 1, 0)))</f>
        <v>0</v>
      </c>
      <c r="U12" s="5">
        <f ca="1">IF(T12=0, 0, IF(U$2=0, 1, IF(Tecnología!T19=Tecnología!T$42, 1, 0)))</f>
        <v>0</v>
      </c>
      <c r="V12" s="5">
        <f ca="1">IF(U12=0, 0, IF(V$2=0, 1, IF(Tecnología!U19=Tecnología!U$42, 1, 0)))</f>
        <v>0</v>
      </c>
    </row>
    <row r="13" spans="1:22" s="2" customFormat="1" x14ac:dyDescent="0.35">
      <c r="A13" s="1">
        <v>10</v>
      </c>
      <c r="B13" s="3">
        <v>1</v>
      </c>
      <c r="C13" s="5">
        <f>IF(B13=0, 0, IF(C$2=0, 1, IF(Tecnología!B20=Tecnología!B$42, 1, 0)))</f>
        <v>1</v>
      </c>
      <c r="D13" s="5">
        <f>IF(C13=0, 0, IF(D$2=0, 1, IF(Tecnología!C20=Tecnología!C$42, 1, 0)))</f>
        <v>1</v>
      </c>
      <c r="E13" s="5">
        <f>IF(D13=0, 0, IF(E$2=0, 1, IF(Tecnología!D20=Tecnología!D$42, 1, 0)))</f>
        <v>1</v>
      </c>
      <c r="F13" s="5">
        <f>IF(E13=0, 0, IF(F$2=0, 1, IF(Tecnología!E20=Tecnología!E$42, 1, 0)))</f>
        <v>1</v>
      </c>
      <c r="G13" s="5">
        <f ca="1">IF(F13=0, 0, IF(G$2=0, 1, IF(Tecnología!F20=Tecnología!F$42, 1, 0)))</f>
        <v>0</v>
      </c>
      <c r="H13" s="5">
        <f ca="1">IF(G13=0, 0, IF(H$2=0, 1, IF(Tecnología!G20=Tecnología!G$42, 1, 0)))</f>
        <v>0</v>
      </c>
      <c r="I13" s="5">
        <f ca="1">IF(H13=0, 0, IF(I$2=0, 1, IF(Tecnología!H20=Tecnología!H$42, 1, 0)))</f>
        <v>0</v>
      </c>
      <c r="J13" s="5">
        <f ca="1">IF(I13=0, 0, IF(J$2=0, 1, IF(Tecnología!I20=Tecnología!I$42, 1, 0)))</f>
        <v>0</v>
      </c>
      <c r="K13" s="5">
        <f ca="1">IF(J13=0, 0, IF(K$2=0, 1, IF(Tecnología!J20=Tecnología!J$42, 1, 0)))</f>
        <v>0</v>
      </c>
      <c r="L13" s="5">
        <f ca="1">IF(K13=0, 0, IF(L$2=0, 1, IF(Tecnología!K20=Tecnología!K$42, 1, 0)))</f>
        <v>0</v>
      </c>
      <c r="M13" s="5">
        <f ca="1">IF(L13=0, 0, IF(M$2=0, 1, IF(Tecnología!L20=Tecnología!L$42, 1, 0)))</f>
        <v>0</v>
      </c>
      <c r="N13" s="5">
        <f ca="1">IF(M13=0, 0, IF(N$2=0, 1, IF(Tecnología!M20=Tecnología!M$42, 1, 0)))</f>
        <v>0</v>
      </c>
      <c r="O13" s="5">
        <f ca="1">IF(N13=0, 0, IF(O$2=0, 1, IF(Tecnología!N20=Tecnología!N$42, 1, 0)))</f>
        <v>0</v>
      </c>
      <c r="P13" s="5">
        <f ca="1">IF(O13=0, 0, IF(P$2=0, 1, IF(Tecnología!O20=Tecnología!O$42, 1, 0)))</f>
        <v>0</v>
      </c>
      <c r="Q13" s="5">
        <f ca="1">IF(P13=0, 0, IF(Q$2=0, 1, IF(Tecnología!P20=Tecnología!P$42, 1, 0)))</f>
        <v>0</v>
      </c>
      <c r="R13" s="5">
        <f ca="1">IF(Q13=0, 0, IF(R$2=0, 1, IF(Tecnología!Q20=Tecnología!Q$42, 1, 0)))</f>
        <v>0</v>
      </c>
      <c r="S13" s="5">
        <f ca="1">IF(R13=0, 0, IF(S$2=0, 1, IF(Tecnología!R20=Tecnología!R$42, 1, 0)))</f>
        <v>0</v>
      </c>
      <c r="T13" s="5">
        <f ca="1">IF(S13=0, 0, IF(T$2=0, 1, IF(Tecnología!S20=Tecnología!S$42, 1, 0)))</f>
        <v>0</v>
      </c>
      <c r="U13" s="5">
        <f ca="1">IF(T13=0, 0, IF(U$2=0, 1, IF(Tecnología!T20=Tecnología!T$42, 1, 0)))</f>
        <v>0</v>
      </c>
      <c r="V13" s="5">
        <f ca="1">IF(U13=0, 0, IF(V$2=0, 1, IF(Tecnología!U20=Tecnología!U$42, 1, 0)))</f>
        <v>0</v>
      </c>
    </row>
    <row r="14" spans="1:22" s="2" customFormat="1" x14ac:dyDescent="0.35">
      <c r="A14" s="1">
        <v>11</v>
      </c>
      <c r="B14" s="3">
        <v>1</v>
      </c>
      <c r="C14" s="5">
        <f>IF(B14=0, 0, IF(C$2=0, 1, IF(Tecnología!B21=Tecnología!B$42, 1, 0)))</f>
        <v>1</v>
      </c>
      <c r="D14" s="5">
        <f>IF(C14=0, 0, IF(D$2=0, 1, IF(Tecnología!C21=Tecnología!C$42, 1, 0)))</f>
        <v>1</v>
      </c>
      <c r="E14" s="5">
        <f>IF(D14=0, 0, IF(E$2=0, 1, IF(Tecnología!D21=Tecnología!D$42, 1, 0)))</f>
        <v>1</v>
      </c>
      <c r="F14" s="5">
        <f>IF(E14=0, 0, IF(F$2=0, 1, IF(Tecnología!E21=Tecnología!E$42, 1, 0)))</f>
        <v>1</v>
      </c>
      <c r="G14" s="5">
        <f ca="1">IF(F14=0, 0, IF(G$2=0, 1, IF(Tecnología!F21=Tecnología!F$42, 1, 0)))</f>
        <v>1</v>
      </c>
      <c r="H14" s="5">
        <f ca="1">IF(G14=0, 0, IF(H$2=0, 1, IF(Tecnología!G21=Tecnología!G$42, 1, 0)))</f>
        <v>1</v>
      </c>
      <c r="I14" s="5">
        <f ca="1">IF(H14=0, 0, IF(I$2=0, 1, IF(Tecnología!H21=Tecnología!H$42, 1, 0)))</f>
        <v>1</v>
      </c>
      <c r="J14" s="5">
        <f ca="1">IF(I14=0, 0, IF(J$2=0, 1, IF(Tecnología!I21=Tecnología!I$42, 1, 0)))</f>
        <v>1</v>
      </c>
      <c r="K14" s="5">
        <f ca="1">IF(J14=0, 0, IF(K$2=0, 1, IF(Tecnología!J21=Tecnología!J$42, 1, 0)))</f>
        <v>1</v>
      </c>
      <c r="L14" s="5">
        <f ca="1">IF(K14=0, 0, IF(L$2=0, 1, IF(Tecnología!K21=Tecnología!K$42, 1, 0)))</f>
        <v>1</v>
      </c>
      <c r="M14" s="5">
        <f ca="1">IF(L14=0, 0, IF(M$2=0, 1, IF(Tecnología!L21=Tecnología!L$42, 1, 0)))</f>
        <v>1</v>
      </c>
      <c r="N14" s="5">
        <f ca="1">IF(M14=0, 0, IF(N$2=0, 1, IF(Tecnología!M21=Tecnología!M$42, 1, 0)))</f>
        <v>1</v>
      </c>
      <c r="O14" s="5">
        <f ca="1">IF(N14=0, 0, IF(O$2=0, 1, IF(Tecnología!N21=Tecnología!N$42, 1, 0)))</f>
        <v>1</v>
      </c>
      <c r="P14" s="5">
        <f ca="1">IF(O14=0, 0, IF(P$2=0, 1, IF(Tecnología!O21=Tecnología!O$42, 1, 0)))</f>
        <v>1</v>
      </c>
      <c r="Q14" s="5">
        <f ca="1">IF(P14=0, 0, IF(Q$2=0, 1, IF(Tecnología!P21=Tecnología!P$42, 1, 0)))</f>
        <v>1</v>
      </c>
      <c r="R14" s="5">
        <f ca="1">IF(Q14=0, 0, IF(R$2=0, 1, IF(Tecnología!Q21=Tecnología!Q$42, 1, 0)))</f>
        <v>1</v>
      </c>
      <c r="S14" s="5">
        <f ca="1">IF(R14=0, 0, IF(S$2=0, 1, IF(Tecnología!R21=Tecnología!R$42, 1, 0)))</f>
        <v>1</v>
      </c>
      <c r="T14" s="5">
        <f ca="1">IF(S14=0, 0, IF(T$2=0, 1, IF(Tecnología!S21=Tecnología!S$42, 1, 0)))</f>
        <v>1</v>
      </c>
      <c r="U14" s="5">
        <f ca="1">IF(T14=0, 0, IF(U$2=0, 1, IF(Tecnología!T21=Tecnología!T$42, 1, 0)))</f>
        <v>1</v>
      </c>
      <c r="V14" s="5">
        <f ca="1">IF(U14=0, 0, IF(V$2=0, 1, IF(Tecnología!U21=Tecnología!U$42, 1, 0)))</f>
        <v>1</v>
      </c>
    </row>
    <row r="15" spans="1:22" s="2" customFormat="1" x14ac:dyDescent="0.35">
      <c r="A15" s="1">
        <v>12</v>
      </c>
      <c r="B15" s="3">
        <v>1</v>
      </c>
      <c r="C15" s="5">
        <f>IF(B15=0, 0, IF(C$2=0, 1, IF(Tecnología!B22=Tecnología!B$42, 1, 0)))</f>
        <v>1</v>
      </c>
      <c r="D15" s="5">
        <f>IF(C15=0, 0, IF(D$2=0, 1, IF(Tecnología!C22=Tecnología!C$42, 1, 0)))</f>
        <v>1</v>
      </c>
      <c r="E15" s="5">
        <f>IF(D15=0, 0, IF(E$2=0, 1, IF(Tecnología!D22=Tecnología!D$42, 1, 0)))</f>
        <v>1</v>
      </c>
      <c r="F15" s="5">
        <f>IF(E15=0, 0, IF(F$2=0, 1, IF(Tecnología!E22=Tecnología!E$42, 1, 0)))</f>
        <v>1</v>
      </c>
      <c r="G15" s="5">
        <f ca="1">IF(F15=0, 0, IF(G$2=0, 1, IF(Tecnología!F22=Tecnología!F$42, 1, 0)))</f>
        <v>1</v>
      </c>
      <c r="H15" s="5">
        <f ca="1">IF(G15=0, 0, IF(H$2=0, 1, IF(Tecnología!G22=Tecnología!G$42, 1, 0)))</f>
        <v>1</v>
      </c>
      <c r="I15" s="5">
        <f ca="1">IF(H15=0, 0, IF(I$2=0, 1, IF(Tecnología!H22=Tecnología!H$42, 1, 0)))</f>
        <v>1</v>
      </c>
      <c r="J15" s="5">
        <f ca="1">IF(I15=0, 0, IF(J$2=0, 1, IF(Tecnología!I22=Tecnología!I$42, 1, 0)))</f>
        <v>1</v>
      </c>
      <c r="K15" s="5">
        <f ca="1">IF(J15=0, 0, IF(K$2=0, 1, IF(Tecnología!J22=Tecnología!J$42, 1, 0)))</f>
        <v>1</v>
      </c>
      <c r="L15" s="5">
        <f ca="1">IF(K15=0, 0, IF(L$2=0, 1, IF(Tecnología!K22=Tecnología!K$42, 1, 0)))</f>
        <v>1</v>
      </c>
      <c r="M15" s="5">
        <f ca="1">IF(L15=0, 0, IF(M$2=0, 1, IF(Tecnología!L22=Tecnología!L$42, 1, 0)))</f>
        <v>1</v>
      </c>
      <c r="N15" s="5">
        <f ca="1">IF(M15=0, 0, IF(N$2=0, 1, IF(Tecnología!M22=Tecnología!M$42, 1, 0)))</f>
        <v>1</v>
      </c>
      <c r="O15" s="5">
        <f ca="1">IF(N15=0, 0, IF(O$2=0, 1, IF(Tecnología!N22=Tecnología!N$42, 1, 0)))</f>
        <v>1</v>
      </c>
      <c r="P15" s="5">
        <f ca="1">IF(O15=0, 0, IF(P$2=0, 1, IF(Tecnología!O22=Tecnología!O$42, 1, 0)))</f>
        <v>1</v>
      </c>
      <c r="Q15" s="5">
        <f ca="1">IF(P15=0, 0, IF(Q$2=0, 1, IF(Tecnología!P22=Tecnología!P$42, 1, 0)))</f>
        <v>1</v>
      </c>
      <c r="R15" s="5">
        <f ca="1">IF(Q15=0, 0, IF(R$2=0, 1, IF(Tecnología!Q22=Tecnología!Q$42, 1, 0)))</f>
        <v>1</v>
      </c>
      <c r="S15" s="5">
        <f ca="1">IF(R15=0, 0, IF(S$2=0, 1, IF(Tecnología!R22=Tecnología!R$42, 1, 0)))</f>
        <v>1</v>
      </c>
      <c r="T15" s="5">
        <f ca="1">IF(S15=0, 0, IF(T$2=0, 1, IF(Tecnología!S22=Tecnología!S$42, 1, 0)))</f>
        <v>1</v>
      </c>
      <c r="U15" s="5">
        <f ca="1">IF(T15=0, 0, IF(U$2=0, 1, IF(Tecnología!T22=Tecnología!T$42, 1, 0)))</f>
        <v>1</v>
      </c>
      <c r="V15" s="5">
        <f ca="1">IF(U15=0, 0, IF(V$2=0, 1, IF(Tecnología!U22=Tecnología!U$42, 1, 0)))</f>
        <v>1</v>
      </c>
    </row>
    <row r="16" spans="1:22" s="2" customFormat="1" x14ac:dyDescent="0.35">
      <c r="A16" s="1">
        <v>13</v>
      </c>
      <c r="B16" s="3">
        <v>1</v>
      </c>
      <c r="C16" s="5">
        <f>IF(B16=0, 0, IF(C$2=0, 1, IF(Tecnología!B23=Tecnología!B$42, 1, 0)))</f>
        <v>1</v>
      </c>
      <c r="D16" s="5">
        <f>IF(C16=0, 0, IF(D$2=0, 1, IF(Tecnología!C23=Tecnología!C$42, 1, 0)))</f>
        <v>1</v>
      </c>
      <c r="E16" s="5">
        <f>IF(D16=0, 0, IF(E$2=0, 1, IF(Tecnología!D23=Tecnología!D$42, 1, 0)))</f>
        <v>1</v>
      </c>
      <c r="F16" s="5">
        <f>IF(E16=0, 0, IF(F$2=0, 1, IF(Tecnología!E23=Tecnología!E$42, 1, 0)))</f>
        <v>1</v>
      </c>
      <c r="G16" s="5">
        <f ca="1">IF(F16=0, 0, IF(G$2=0, 1, IF(Tecnología!F23=Tecnología!F$42, 1, 0)))</f>
        <v>1</v>
      </c>
      <c r="H16" s="5">
        <f ca="1">IF(G16=0, 0, IF(H$2=0, 1, IF(Tecnología!G23=Tecnología!G$42, 1, 0)))</f>
        <v>1</v>
      </c>
      <c r="I16" s="5">
        <f ca="1">IF(H16=0, 0, IF(I$2=0, 1, IF(Tecnología!H23=Tecnología!H$42, 1, 0)))</f>
        <v>1</v>
      </c>
      <c r="J16" s="5">
        <f ca="1">IF(I16=0, 0, IF(J$2=0, 1, IF(Tecnología!I23=Tecnología!I$42, 1, 0)))</f>
        <v>1</v>
      </c>
      <c r="K16" s="5">
        <f ca="1">IF(J16=0, 0, IF(K$2=0, 1, IF(Tecnología!J23=Tecnología!J$42, 1, 0)))</f>
        <v>0</v>
      </c>
      <c r="L16" s="5">
        <f ca="1">IF(K16=0, 0, IF(L$2=0, 1, IF(Tecnología!K23=Tecnología!K$42, 1, 0)))</f>
        <v>0</v>
      </c>
      <c r="M16" s="5">
        <f ca="1">IF(L16=0, 0, IF(M$2=0, 1, IF(Tecnología!L23=Tecnología!L$42, 1, 0)))</f>
        <v>0</v>
      </c>
      <c r="N16" s="5">
        <f ca="1">IF(M16=0, 0, IF(N$2=0, 1, IF(Tecnología!M23=Tecnología!M$42, 1, 0)))</f>
        <v>0</v>
      </c>
      <c r="O16" s="5">
        <f ca="1">IF(N16=0, 0, IF(O$2=0, 1, IF(Tecnología!N23=Tecnología!N$42, 1, 0)))</f>
        <v>0</v>
      </c>
      <c r="P16" s="5">
        <f ca="1">IF(O16=0, 0, IF(P$2=0, 1, IF(Tecnología!O23=Tecnología!O$42, 1, 0)))</f>
        <v>0</v>
      </c>
      <c r="Q16" s="5">
        <f ca="1">IF(P16=0, 0, IF(Q$2=0, 1, IF(Tecnología!P23=Tecnología!P$42, 1, 0)))</f>
        <v>0</v>
      </c>
      <c r="R16" s="5">
        <f ca="1">IF(Q16=0, 0, IF(R$2=0, 1, IF(Tecnología!Q23=Tecnología!Q$42, 1, 0)))</f>
        <v>0</v>
      </c>
      <c r="S16" s="5">
        <f ca="1">IF(R16=0, 0, IF(S$2=0, 1, IF(Tecnología!R23=Tecnología!R$42, 1, 0)))</f>
        <v>0</v>
      </c>
      <c r="T16" s="5">
        <f ca="1">IF(S16=0, 0, IF(T$2=0, 1, IF(Tecnología!S23=Tecnología!S$42, 1, 0)))</f>
        <v>0</v>
      </c>
      <c r="U16" s="5">
        <f ca="1">IF(T16=0, 0, IF(U$2=0, 1, IF(Tecnología!T23=Tecnología!T$42, 1, 0)))</f>
        <v>0</v>
      </c>
      <c r="V16" s="5">
        <f ca="1">IF(U16=0, 0, IF(V$2=0, 1, IF(Tecnología!U23=Tecnología!U$42, 1, 0)))</f>
        <v>0</v>
      </c>
    </row>
    <row r="17" spans="1:22" s="2" customFormat="1" x14ac:dyDescent="0.35">
      <c r="A17" s="1">
        <v>14</v>
      </c>
      <c r="B17" s="3">
        <v>1</v>
      </c>
      <c r="C17" s="5">
        <f>IF(B17=0, 0, IF(C$2=0, 1, IF(Tecnología!B24=Tecnología!B$42, 1, 0)))</f>
        <v>1</v>
      </c>
      <c r="D17" s="5">
        <f>IF(C17=0, 0, IF(D$2=0, 1, IF(Tecnología!C24=Tecnología!C$42, 1, 0)))</f>
        <v>1</v>
      </c>
      <c r="E17" s="5">
        <f>IF(D17=0, 0, IF(E$2=0, 1, IF(Tecnología!D24=Tecnología!D$42, 1, 0)))</f>
        <v>1</v>
      </c>
      <c r="F17" s="5">
        <f>IF(E17=0, 0, IF(F$2=0, 1, IF(Tecnología!E24=Tecnología!E$42, 1, 0)))</f>
        <v>1</v>
      </c>
      <c r="G17" s="5">
        <f ca="1">IF(F17=0, 0, IF(G$2=0, 1, IF(Tecnología!F24=Tecnología!F$42, 1, 0)))</f>
        <v>1</v>
      </c>
      <c r="H17" s="5">
        <f ca="1">IF(G17=0, 0, IF(H$2=0, 1, IF(Tecnología!G24=Tecnología!G$42, 1, 0)))</f>
        <v>1</v>
      </c>
      <c r="I17" s="5">
        <f ca="1">IF(H17=0, 0, IF(I$2=0, 1, IF(Tecnología!H24=Tecnología!H$42, 1, 0)))</f>
        <v>1</v>
      </c>
      <c r="J17" s="5">
        <f ca="1">IF(I17=0, 0, IF(J$2=0, 1, IF(Tecnología!I24=Tecnología!I$42, 1, 0)))</f>
        <v>1</v>
      </c>
      <c r="K17" s="5">
        <f ca="1">IF(J17=0, 0, IF(K$2=0, 1, IF(Tecnología!J24=Tecnología!J$42, 1, 0)))</f>
        <v>1</v>
      </c>
      <c r="L17" s="5">
        <f ca="1">IF(K17=0, 0, IF(L$2=0, 1, IF(Tecnología!K24=Tecnología!K$42, 1, 0)))</f>
        <v>1</v>
      </c>
      <c r="M17" s="5">
        <f ca="1">IF(L17=0, 0, IF(M$2=0, 1, IF(Tecnología!L24=Tecnología!L$42, 1, 0)))</f>
        <v>1</v>
      </c>
      <c r="N17" s="5">
        <f ca="1">IF(M17=0, 0, IF(N$2=0, 1, IF(Tecnología!M24=Tecnología!M$42, 1, 0)))</f>
        <v>1</v>
      </c>
      <c r="O17" s="5">
        <f ca="1">IF(N17=0, 0, IF(O$2=0, 1, IF(Tecnología!N24=Tecnología!N$42, 1, 0)))</f>
        <v>0</v>
      </c>
      <c r="P17" s="5">
        <f ca="1">IF(O17=0, 0, IF(P$2=0, 1, IF(Tecnología!O24=Tecnología!O$42, 1, 0)))</f>
        <v>0</v>
      </c>
      <c r="Q17" s="5">
        <f ca="1">IF(P17=0, 0, IF(Q$2=0, 1, IF(Tecnología!P24=Tecnología!P$42, 1, 0)))</f>
        <v>0</v>
      </c>
      <c r="R17" s="5">
        <f ca="1">IF(Q17=0, 0, IF(R$2=0, 1, IF(Tecnología!Q24=Tecnología!Q$42, 1, 0)))</f>
        <v>0</v>
      </c>
      <c r="S17" s="5">
        <f ca="1">IF(R17=0, 0, IF(S$2=0, 1, IF(Tecnología!R24=Tecnología!R$42, 1, 0)))</f>
        <v>0</v>
      </c>
      <c r="T17" s="5">
        <f ca="1">IF(S17=0, 0, IF(T$2=0, 1, IF(Tecnología!S24=Tecnología!S$42, 1, 0)))</f>
        <v>0</v>
      </c>
      <c r="U17" s="5">
        <f ca="1">IF(T17=0, 0, IF(U$2=0, 1, IF(Tecnología!T24=Tecnología!T$42, 1, 0)))</f>
        <v>0</v>
      </c>
      <c r="V17" s="5">
        <f ca="1">IF(U17=0, 0, IF(V$2=0, 1, IF(Tecnología!U24=Tecnología!U$42, 1, 0)))</f>
        <v>0</v>
      </c>
    </row>
    <row r="18" spans="1:22" s="2" customFormat="1" x14ac:dyDescent="0.35">
      <c r="A18" s="1">
        <v>15</v>
      </c>
      <c r="B18" s="3">
        <v>1</v>
      </c>
      <c r="C18" s="5">
        <f>IF(B18=0, 0, IF(C$2=0, 1, IF(Tecnología!B25=Tecnología!B$42, 1, 0)))</f>
        <v>1</v>
      </c>
      <c r="D18" s="5">
        <f>IF(C18=0, 0, IF(D$2=0, 1, IF(Tecnología!C25=Tecnología!C$42, 1, 0)))</f>
        <v>1</v>
      </c>
      <c r="E18" s="5">
        <f>IF(D18=0, 0, IF(E$2=0, 1, IF(Tecnología!D25=Tecnología!D$42, 1, 0)))</f>
        <v>1</v>
      </c>
      <c r="F18" s="5">
        <f>IF(E18=0, 0, IF(F$2=0, 1, IF(Tecnología!E25=Tecnología!E$42, 1, 0)))</f>
        <v>1</v>
      </c>
      <c r="G18" s="5">
        <f ca="1">IF(F18=0, 0, IF(G$2=0, 1, IF(Tecnología!F25=Tecnología!F$42, 1, 0)))</f>
        <v>1</v>
      </c>
      <c r="H18" s="5">
        <f ca="1">IF(G18=0, 0, IF(H$2=0, 1, IF(Tecnología!G25=Tecnología!G$42, 1, 0)))</f>
        <v>1</v>
      </c>
      <c r="I18" s="5">
        <f ca="1">IF(H18=0, 0, IF(I$2=0, 1, IF(Tecnología!H25=Tecnología!H$42, 1, 0)))</f>
        <v>1</v>
      </c>
      <c r="J18" s="5">
        <f ca="1">IF(I18=0, 0, IF(J$2=0, 1, IF(Tecnología!I25=Tecnología!I$42, 1, 0)))</f>
        <v>1</v>
      </c>
      <c r="K18" s="5">
        <f ca="1">IF(J18=0, 0, IF(K$2=0, 1, IF(Tecnología!J25=Tecnología!J$42, 1, 0)))</f>
        <v>0</v>
      </c>
      <c r="L18" s="5">
        <f ca="1">IF(K18=0, 0, IF(L$2=0, 1, IF(Tecnología!K25=Tecnología!K$42, 1, 0)))</f>
        <v>0</v>
      </c>
      <c r="M18" s="5">
        <f ca="1">IF(L18=0, 0, IF(M$2=0, 1, IF(Tecnología!L25=Tecnología!L$42, 1, 0)))</f>
        <v>0</v>
      </c>
      <c r="N18" s="5">
        <f ca="1">IF(M18=0, 0, IF(N$2=0, 1, IF(Tecnología!M25=Tecnología!M$42, 1, 0)))</f>
        <v>0</v>
      </c>
      <c r="O18" s="5">
        <f ca="1">IF(N18=0, 0, IF(O$2=0, 1, IF(Tecnología!N25=Tecnología!N$42, 1, 0)))</f>
        <v>0</v>
      </c>
      <c r="P18" s="5">
        <f ca="1">IF(O18=0, 0, IF(P$2=0, 1, IF(Tecnología!O25=Tecnología!O$42, 1, 0)))</f>
        <v>0</v>
      </c>
      <c r="Q18" s="5">
        <f ca="1">IF(P18=0, 0, IF(Q$2=0, 1, IF(Tecnología!P25=Tecnología!P$42, 1, 0)))</f>
        <v>0</v>
      </c>
      <c r="R18" s="5">
        <f ca="1">IF(Q18=0, 0, IF(R$2=0, 1, IF(Tecnología!Q25=Tecnología!Q$42, 1, 0)))</f>
        <v>0</v>
      </c>
      <c r="S18" s="5">
        <f ca="1">IF(R18=0, 0, IF(S$2=0, 1, IF(Tecnología!R25=Tecnología!R$42, 1, 0)))</f>
        <v>0</v>
      </c>
      <c r="T18" s="5">
        <f ca="1">IF(S18=0, 0, IF(T$2=0, 1, IF(Tecnología!S25=Tecnología!S$42, 1, 0)))</f>
        <v>0</v>
      </c>
      <c r="U18" s="5">
        <f ca="1">IF(T18=0, 0, IF(U$2=0, 1, IF(Tecnología!T25=Tecnología!T$42, 1, 0)))</f>
        <v>0</v>
      </c>
      <c r="V18" s="5">
        <f ca="1">IF(U18=0, 0, IF(V$2=0, 1, IF(Tecnología!U25=Tecnología!U$42, 1, 0)))</f>
        <v>0</v>
      </c>
    </row>
    <row r="19" spans="1:22" s="2" customFormat="1" x14ac:dyDescent="0.35">
      <c r="A19" s="1">
        <v>16</v>
      </c>
      <c r="B19" s="3">
        <v>1</v>
      </c>
      <c r="C19" s="5">
        <f>IF(B19=0, 0, IF(C$2=0, 1, IF(Tecnología!B26=Tecnología!B$42, 1, 0)))</f>
        <v>1</v>
      </c>
      <c r="D19" s="5">
        <f>IF(C19=0, 0, IF(D$2=0, 1, IF(Tecnología!C26=Tecnología!C$42, 1, 0)))</f>
        <v>1</v>
      </c>
      <c r="E19" s="5">
        <f>IF(D19=0, 0, IF(E$2=0, 1, IF(Tecnología!D26=Tecnología!D$42, 1, 0)))</f>
        <v>1</v>
      </c>
      <c r="F19" s="5">
        <f>IF(E19=0, 0, IF(F$2=0, 1, IF(Tecnología!E26=Tecnología!E$42, 1, 0)))</f>
        <v>1</v>
      </c>
      <c r="G19" s="5">
        <f ca="1">IF(F19=0, 0, IF(G$2=0, 1, IF(Tecnología!F26=Tecnología!F$42, 1, 0)))</f>
        <v>1</v>
      </c>
      <c r="H19" s="5">
        <f ca="1">IF(G19=0, 0, IF(H$2=0, 1, IF(Tecnología!G26=Tecnología!G$42, 1, 0)))</f>
        <v>1</v>
      </c>
      <c r="I19" s="5">
        <f ca="1">IF(H19=0, 0, IF(I$2=0, 1, IF(Tecnología!H26=Tecnología!H$42, 1, 0)))</f>
        <v>1</v>
      </c>
      <c r="J19" s="5">
        <f ca="1">IF(I19=0, 0, IF(J$2=0, 1, IF(Tecnología!I26=Tecnología!I$42, 1, 0)))</f>
        <v>1</v>
      </c>
      <c r="K19" s="5">
        <f ca="1">IF(J19=0, 0, IF(K$2=0, 1, IF(Tecnología!J26=Tecnología!J$42, 1, 0)))</f>
        <v>0</v>
      </c>
      <c r="L19" s="5">
        <f ca="1">IF(K19=0, 0, IF(L$2=0, 1, IF(Tecnología!K26=Tecnología!K$42, 1, 0)))</f>
        <v>0</v>
      </c>
      <c r="M19" s="5">
        <f ca="1">IF(L19=0, 0, IF(M$2=0, 1, IF(Tecnología!L26=Tecnología!L$42, 1, 0)))</f>
        <v>0</v>
      </c>
      <c r="N19" s="5">
        <f ca="1">IF(M19=0, 0, IF(N$2=0, 1, IF(Tecnología!M26=Tecnología!M$42, 1, 0)))</f>
        <v>0</v>
      </c>
      <c r="O19" s="5">
        <f ca="1">IF(N19=0, 0, IF(O$2=0, 1, IF(Tecnología!N26=Tecnología!N$42, 1, 0)))</f>
        <v>0</v>
      </c>
      <c r="P19" s="5">
        <f ca="1">IF(O19=0, 0, IF(P$2=0, 1, IF(Tecnología!O26=Tecnología!O$42, 1, 0)))</f>
        <v>0</v>
      </c>
      <c r="Q19" s="5">
        <f ca="1">IF(P19=0, 0, IF(Q$2=0, 1, IF(Tecnología!P26=Tecnología!P$42, 1, 0)))</f>
        <v>0</v>
      </c>
      <c r="R19" s="5">
        <f ca="1">IF(Q19=0, 0, IF(R$2=0, 1, IF(Tecnología!Q26=Tecnología!Q$42, 1, 0)))</f>
        <v>0</v>
      </c>
      <c r="S19" s="5">
        <f ca="1">IF(R19=0, 0, IF(S$2=0, 1, IF(Tecnología!R26=Tecnología!R$42, 1, 0)))</f>
        <v>0</v>
      </c>
      <c r="T19" s="5">
        <f ca="1">IF(S19=0, 0, IF(T$2=0, 1, IF(Tecnología!S26=Tecnología!S$42, 1, 0)))</f>
        <v>0</v>
      </c>
      <c r="U19" s="5">
        <f ca="1">IF(T19=0, 0, IF(U$2=0, 1, IF(Tecnología!T26=Tecnología!T$42, 1, 0)))</f>
        <v>0</v>
      </c>
      <c r="V19" s="5">
        <f ca="1">IF(U19=0, 0, IF(V$2=0, 1, IF(Tecnología!U26=Tecnología!U$42, 1, 0)))</f>
        <v>0</v>
      </c>
    </row>
    <row r="20" spans="1:22" s="2" customFormat="1" x14ac:dyDescent="0.35">
      <c r="A20" s="1">
        <v>17</v>
      </c>
      <c r="B20" s="3">
        <v>1</v>
      </c>
      <c r="C20" s="5">
        <f>IF(B20=0, 0, IF(C$2=0, 1, IF(Tecnología!B27=Tecnología!B$42, 1, 0)))</f>
        <v>1</v>
      </c>
      <c r="D20" s="5">
        <f>IF(C20=0, 0, IF(D$2=0, 1, IF(Tecnología!C27=Tecnología!C$42, 1, 0)))</f>
        <v>1</v>
      </c>
      <c r="E20" s="5">
        <f>IF(D20=0, 0, IF(E$2=0, 1, IF(Tecnología!D27=Tecnología!D$42, 1, 0)))</f>
        <v>1</v>
      </c>
      <c r="F20" s="5">
        <f>IF(E20=0, 0, IF(F$2=0, 1, IF(Tecnología!E27=Tecnología!E$42, 1, 0)))</f>
        <v>1</v>
      </c>
      <c r="G20" s="5">
        <f ca="1">IF(F20=0, 0, IF(G$2=0, 1, IF(Tecnología!F27=Tecnología!F$42, 1, 0)))</f>
        <v>1</v>
      </c>
      <c r="H20" s="5">
        <f ca="1">IF(G20=0, 0, IF(H$2=0, 1, IF(Tecnología!G27=Tecnología!G$42, 1, 0)))</f>
        <v>1</v>
      </c>
      <c r="I20" s="5">
        <f ca="1">IF(H20=0, 0, IF(I$2=0, 1, IF(Tecnología!H27=Tecnología!H$42, 1, 0)))</f>
        <v>1</v>
      </c>
      <c r="J20" s="5">
        <f ca="1">IF(I20=0, 0, IF(J$2=0, 1, IF(Tecnología!I27=Tecnología!I$42, 1, 0)))</f>
        <v>1</v>
      </c>
      <c r="K20" s="5">
        <f ca="1">IF(J20=0, 0, IF(K$2=0, 1, IF(Tecnología!J27=Tecnología!J$42, 1, 0)))</f>
        <v>1</v>
      </c>
      <c r="L20" s="5">
        <f ca="1">IF(K20=0, 0, IF(L$2=0, 1, IF(Tecnología!K27=Tecnología!K$42, 1, 0)))</f>
        <v>1</v>
      </c>
      <c r="M20" s="5">
        <f ca="1">IF(L20=0, 0, IF(M$2=0, 1, IF(Tecnología!L27=Tecnología!L$42, 1, 0)))</f>
        <v>1</v>
      </c>
      <c r="N20" s="5">
        <f ca="1">IF(M20=0, 0, IF(N$2=0, 1, IF(Tecnología!M27=Tecnología!M$42, 1, 0)))</f>
        <v>1</v>
      </c>
      <c r="O20" s="5">
        <f ca="1">IF(N20=0, 0, IF(O$2=0, 1, IF(Tecnología!N27=Tecnología!N$42, 1, 0)))</f>
        <v>1</v>
      </c>
      <c r="P20" s="5">
        <f ca="1">IF(O20=0, 0, IF(P$2=0, 1, IF(Tecnología!O27=Tecnología!O$42, 1, 0)))</f>
        <v>1</v>
      </c>
      <c r="Q20" s="5">
        <f ca="1">IF(P20=0, 0, IF(Q$2=0, 1, IF(Tecnología!P27=Tecnología!P$42, 1, 0)))</f>
        <v>1</v>
      </c>
      <c r="R20" s="5">
        <f ca="1">IF(Q20=0, 0, IF(R$2=0, 1, IF(Tecnología!Q27=Tecnología!Q$42, 1, 0)))</f>
        <v>1</v>
      </c>
      <c r="S20" s="5">
        <f ca="1">IF(R20=0, 0, IF(S$2=0, 1, IF(Tecnología!R27=Tecnología!R$42, 1, 0)))</f>
        <v>1</v>
      </c>
      <c r="T20" s="5">
        <f ca="1">IF(S20=0, 0, IF(T$2=0, 1, IF(Tecnología!S27=Tecnología!S$42, 1, 0)))</f>
        <v>1</v>
      </c>
      <c r="U20" s="5">
        <f ca="1">IF(T20=0, 0, IF(U$2=0, 1, IF(Tecnología!T27=Tecnología!T$42, 1, 0)))</f>
        <v>1</v>
      </c>
      <c r="V20" s="5">
        <f ca="1">IF(U20=0, 0, IF(V$2=0, 1, IF(Tecnología!U27=Tecnología!U$42, 1, 0)))</f>
        <v>1</v>
      </c>
    </row>
    <row r="21" spans="1:22" s="2" customFormat="1" x14ac:dyDescent="0.35">
      <c r="A21" s="1">
        <v>18</v>
      </c>
      <c r="B21" s="3">
        <v>1</v>
      </c>
      <c r="C21" s="5">
        <f>IF(B21=0, 0, IF(C$2=0, 1, IF(Tecnología!B28=Tecnología!B$42, 1, 0)))</f>
        <v>1</v>
      </c>
      <c r="D21" s="5">
        <f>IF(C21=0, 0, IF(D$2=0, 1, IF(Tecnología!C28=Tecnología!C$42, 1, 0)))</f>
        <v>1</v>
      </c>
      <c r="E21" s="5">
        <f>IF(D21=0, 0, IF(E$2=0, 1, IF(Tecnología!D28=Tecnología!D$42, 1, 0)))</f>
        <v>1</v>
      </c>
      <c r="F21" s="5">
        <f>IF(E21=0, 0, IF(F$2=0, 1, IF(Tecnología!E28=Tecnología!E$42, 1, 0)))</f>
        <v>1</v>
      </c>
      <c r="G21" s="5">
        <f ca="1">IF(F21=0, 0, IF(G$2=0, 1, IF(Tecnología!F28=Tecnología!F$42, 1, 0)))</f>
        <v>1</v>
      </c>
      <c r="H21" s="5">
        <f ca="1">IF(G21=0, 0, IF(H$2=0, 1, IF(Tecnología!G28=Tecnología!G$42, 1, 0)))</f>
        <v>1</v>
      </c>
      <c r="I21" s="5">
        <f ca="1">IF(H21=0, 0, IF(I$2=0, 1, IF(Tecnología!H28=Tecnología!H$42, 1, 0)))</f>
        <v>1</v>
      </c>
      <c r="J21" s="5">
        <f ca="1">IF(I21=0, 0, IF(J$2=0, 1, IF(Tecnología!I28=Tecnología!I$42, 1, 0)))</f>
        <v>1</v>
      </c>
      <c r="K21" s="5">
        <f ca="1">IF(J21=0, 0, IF(K$2=0, 1, IF(Tecnología!J28=Tecnología!J$42, 1, 0)))</f>
        <v>1</v>
      </c>
      <c r="L21" s="5">
        <f ca="1">IF(K21=0, 0, IF(L$2=0, 1, IF(Tecnología!K28=Tecnología!K$42, 1, 0)))</f>
        <v>1</v>
      </c>
      <c r="M21" s="5">
        <f ca="1">IF(L21=0, 0, IF(M$2=0, 1, IF(Tecnología!L28=Tecnología!L$42, 1, 0)))</f>
        <v>1</v>
      </c>
      <c r="N21" s="5">
        <f ca="1">IF(M21=0, 0, IF(N$2=0, 1, IF(Tecnología!M28=Tecnología!M$42, 1, 0)))</f>
        <v>1</v>
      </c>
      <c r="O21" s="5">
        <f ca="1">IF(N21=0, 0, IF(O$2=0, 1, IF(Tecnología!N28=Tecnología!N$42, 1, 0)))</f>
        <v>1</v>
      </c>
      <c r="P21" s="5">
        <f ca="1">IF(O21=0, 0, IF(P$2=0, 1, IF(Tecnología!O28=Tecnología!O$42, 1, 0)))</f>
        <v>1</v>
      </c>
      <c r="Q21" s="5">
        <f ca="1">IF(P21=0, 0, IF(Q$2=0, 1, IF(Tecnología!P28=Tecnología!P$42, 1, 0)))</f>
        <v>1</v>
      </c>
      <c r="R21" s="5">
        <f ca="1">IF(Q21=0, 0, IF(R$2=0, 1, IF(Tecnología!Q28=Tecnología!Q$42, 1, 0)))</f>
        <v>1</v>
      </c>
      <c r="S21" s="5">
        <f ca="1">IF(R21=0, 0, IF(S$2=0, 1, IF(Tecnología!R28=Tecnología!R$42, 1, 0)))</f>
        <v>1</v>
      </c>
      <c r="T21" s="5">
        <f ca="1">IF(S21=0, 0, IF(T$2=0, 1, IF(Tecnología!S28=Tecnología!S$42, 1, 0)))</f>
        <v>1</v>
      </c>
      <c r="U21" s="5">
        <f ca="1">IF(T21=0, 0, IF(U$2=0, 1, IF(Tecnología!T28=Tecnología!T$42, 1, 0)))</f>
        <v>1</v>
      </c>
      <c r="V21" s="5">
        <f ca="1">IF(U21=0, 0, IF(V$2=0, 1, IF(Tecnología!U28=Tecnología!U$42, 1, 0)))</f>
        <v>1</v>
      </c>
    </row>
    <row r="22" spans="1:22" s="2" customFormat="1" x14ac:dyDescent="0.35">
      <c r="A22" s="1">
        <v>19</v>
      </c>
      <c r="B22" s="3">
        <v>1</v>
      </c>
      <c r="C22" s="5">
        <f>IF(B22=0, 0, IF(C$2=0, 1, IF(Tecnología!B29=Tecnología!B$42, 1, 0)))</f>
        <v>1</v>
      </c>
      <c r="D22" s="5">
        <f>IF(C22=0, 0, IF(D$2=0, 1, IF(Tecnología!C29=Tecnología!C$42, 1, 0)))</f>
        <v>1</v>
      </c>
      <c r="E22" s="5">
        <f>IF(D22=0, 0, IF(E$2=0, 1, IF(Tecnología!D29=Tecnología!D$42, 1, 0)))</f>
        <v>1</v>
      </c>
      <c r="F22" s="5">
        <f>IF(E22=0, 0, IF(F$2=0, 1, IF(Tecnología!E29=Tecnología!E$42, 1, 0)))</f>
        <v>1</v>
      </c>
      <c r="G22" s="5">
        <f ca="1">IF(F22=0, 0, IF(G$2=0, 1, IF(Tecnología!F29=Tecnología!F$42, 1, 0)))</f>
        <v>0</v>
      </c>
      <c r="H22" s="5">
        <f ca="1">IF(G22=0, 0, IF(H$2=0, 1, IF(Tecnología!G29=Tecnología!G$42, 1, 0)))</f>
        <v>0</v>
      </c>
      <c r="I22" s="5">
        <f ca="1">IF(H22=0, 0, IF(I$2=0, 1, IF(Tecnología!H29=Tecnología!H$42, 1, 0)))</f>
        <v>0</v>
      </c>
      <c r="J22" s="5">
        <f ca="1">IF(I22=0, 0, IF(J$2=0, 1, IF(Tecnología!I29=Tecnología!I$42, 1, 0)))</f>
        <v>0</v>
      </c>
      <c r="K22" s="5">
        <f ca="1">IF(J22=0, 0, IF(K$2=0, 1, IF(Tecnología!J29=Tecnología!J$42, 1, 0)))</f>
        <v>0</v>
      </c>
      <c r="L22" s="5">
        <f ca="1">IF(K22=0, 0, IF(L$2=0, 1, IF(Tecnología!K29=Tecnología!K$42, 1, 0)))</f>
        <v>0</v>
      </c>
      <c r="M22" s="5">
        <f ca="1">IF(L22=0, 0, IF(M$2=0, 1, IF(Tecnología!L29=Tecnología!L$42, 1, 0)))</f>
        <v>0</v>
      </c>
      <c r="N22" s="5">
        <f ca="1">IF(M22=0, 0, IF(N$2=0, 1, IF(Tecnología!M29=Tecnología!M$42, 1, 0)))</f>
        <v>0</v>
      </c>
      <c r="O22" s="5">
        <f ca="1">IF(N22=0, 0, IF(O$2=0, 1, IF(Tecnología!N29=Tecnología!N$42, 1, 0)))</f>
        <v>0</v>
      </c>
      <c r="P22" s="5">
        <f ca="1">IF(O22=0, 0, IF(P$2=0, 1, IF(Tecnología!O29=Tecnología!O$42, 1, 0)))</f>
        <v>0</v>
      </c>
      <c r="Q22" s="5">
        <f ca="1">IF(P22=0, 0, IF(Q$2=0, 1, IF(Tecnología!P29=Tecnología!P$42, 1, 0)))</f>
        <v>0</v>
      </c>
      <c r="R22" s="5">
        <f ca="1">IF(Q22=0, 0, IF(R$2=0, 1, IF(Tecnología!Q29=Tecnología!Q$42, 1, 0)))</f>
        <v>0</v>
      </c>
      <c r="S22" s="5">
        <f ca="1">IF(R22=0, 0, IF(S$2=0, 1, IF(Tecnología!R29=Tecnología!R$42, 1, 0)))</f>
        <v>0</v>
      </c>
      <c r="T22" s="5">
        <f ca="1">IF(S22=0, 0, IF(T$2=0, 1, IF(Tecnología!S29=Tecnología!S$42, 1, 0)))</f>
        <v>0</v>
      </c>
      <c r="U22" s="5">
        <f ca="1">IF(T22=0, 0, IF(U$2=0, 1, IF(Tecnología!T29=Tecnología!T$42, 1, 0)))</f>
        <v>0</v>
      </c>
      <c r="V22" s="5">
        <f ca="1">IF(U22=0, 0, IF(V$2=0, 1, IF(Tecnología!U29=Tecnología!U$42, 1, 0)))</f>
        <v>0</v>
      </c>
    </row>
    <row r="23" spans="1:22" s="2" customFormat="1" x14ac:dyDescent="0.35">
      <c r="A23" s="1">
        <v>20</v>
      </c>
      <c r="B23" s="3">
        <v>1</v>
      </c>
      <c r="C23" s="5">
        <f>IF(B23=0, 0, IF(C$2=0, 1, IF(Tecnología!B30=Tecnología!B$42, 1, 0)))</f>
        <v>1</v>
      </c>
      <c r="D23" s="5">
        <f>IF(C23=0, 0, IF(D$2=0, 1, IF(Tecnología!C30=Tecnología!C$42, 1, 0)))</f>
        <v>1</v>
      </c>
      <c r="E23" s="5">
        <f>IF(D23=0, 0, IF(E$2=0, 1, IF(Tecnología!D30=Tecnología!D$42, 1, 0)))</f>
        <v>1</v>
      </c>
      <c r="F23" s="5">
        <f>IF(E23=0, 0, IF(F$2=0, 1, IF(Tecnología!E30=Tecnología!E$42, 1, 0)))</f>
        <v>1</v>
      </c>
      <c r="G23" s="5">
        <f ca="1">IF(F23=0, 0, IF(G$2=0, 1, IF(Tecnología!F30=Tecnología!F$42, 1, 0)))</f>
        <v>0</v>
      </c>
      <c r="H23" s="5">
        <f ca="1">IF(G23=0, 0, IF(H$2=0, 1, IF(Tecnología!G30=Tecnología!G$42, 1, 0)))</f>
        <v>0</v>
      </c>
      <c r="I23" s="5">
        <f ca="1">IF(H23=0, 0, IF(I$2=0, 1, IF(Tecnología!H30=Tecnología!H$42, 1, 0)))</f>
        <v>0</v>
      </c>
      <c r="J23" s="5">
        <f ca="1">IF(I23=0, 0, IF(J$2=0, 1, IF(Tecnología!I30=Tecnología!I$42, 1, 0)))</f>
        <v>0</v>
      </c>
      <c r="K23" s="5">
        <f ca="1">IF(J23=0, 0, IF(K$2=0, 1, IF(Tecnología!J30=Tecnología!J$42, 1, 0)))</f>
        <v>0</v>
      </c>
      <c r="L23" s="5">
        <f ca="1">IF(K23=0, 0, IF(L$2=0, 1, IF(Tecnología!K30=Tecnología!K$42, 1, 0)))</f>
        <v>0</v>
      </c>
      <c r="M23" s="5">
        <f ca="1">IF(L23=0, 0, IF(M$2=0, 1, IF(Tecnología!L30=Tecnología!L$42, 1, 0)))</f>
        <v>0</v>
      </c>
      <c r="N23" s="5">
        <f ca="1">IF(M23=0, 0, IF(N$2=0, 1, IF(Tecnología!M30=Tecnología!M$42, 1, 0)))</f>
        <v>0</v>
      </c>
      <c r="O23" s="5">
        <f ca="1">IF(N23=0, 0, IF(O$2=0, 1, IF(Tecnología!N30=Tecnología!N$42, 1, 0)))</f>
        <v>0</v>
      </c>
      <c r="P23" s="5">
        <f ca="1">IF(O23=0, 0, IF(P$2=0, 1, IF(Tecnología!O30=Tecnología!O$42, 1, 0)))</f>
        <v>0</v>
      </c>
      <c r="Q23" s="5">
        <f ca="1">IF(P23=0, 0, IF(Q$2=0, 1, IF(Tecnología!P30=Tecnología!P$42, 1, 0)))</f>
        <v>0</v>
      </c>
      <c r="R23" s="5">
        <f ca="1">IF(Q23=0, 0, IF(R$2=0, 1, IF(Tecnología!Q30=Tecnología!Q$42, 1, 0)))</f>
        <v>0</v>
      </c>
      <c r="S23" s="5">
        <f ca="1">IF(R23=0, 0, IF(S$2=0, 1, IF(Tecnología!R30=Tecnología!R$42, 1, 0)))</f>
        <v>0</v>
      </c>
      <c r="T23" s="5">
        <f ca="1">IF(S23=0, 0, IF(T$2=0, 1, IF(Tecnología!S30=Tecnología!S$42, 1, 0)))</f>
        <v>0</v>
      </c>
      <c r="U23" s="5">
        <f ca="1">IF(T23=0, 0, IF(U$2=0, 1, IF(Tecnología!T30=Tecnología!T$42, 1, 0)))</f>
        <v>0</v>
      </c>
      <c r="V23" s="5">
        <f ca="1">IF(U23=0, 0, IF(V$2=0, 1, IF(Tecnología!U30=Tecnología!U$42, 1, 0)))</f>
        <v>0</v>
      </c>
    </row>
    <row r="24" spans="1:22" s="2" customFormat="1" x14ac:dyDescent="0.35">
      <c r="A24" s="1">
        <v>21</v>
      </c>
      <c r="B24" s="3">
        <v>1</v>
      </c>
      <c r="C24" s="5">
        <f>IF(B24=0, 0, IF(C$2=0, 1, IF(Tecnología!B31=Tecnología!B$42, 1, 0)))</f>
        <v>1</v>
      </c>
      <c r="D24" s="5">
        <f>IF(C24=0, 0, IF(D$2=0, 1, IF(Tecnología!C31=Tecnología!C$42, 1, 0)))</f>
        <v>1</v>
      </c>
      <c r="E24" s="5">
        <f>IF(D24=0, 0, IF(E$2=0, 1, IF(Tecnología!D31=Tecnología!D$42, 1, 0)))</f>
        <v>1</v>
      </c>
      <c r="F24" s="5">
        <f>IF(E24=0, 0, IF(F$2=0, 1, IF(Tecnología!E31=Tecnología!E$42, 1, 0)))</f>
        <v>1</v>
      </c>
      <c r="G24" s="5">
        <f ca="1">IF(F24=0, 0, IF(G$2=0, 1, IF(Tecnología!F31=Tecnología!F$42, 1, 0)))</f>
        <v>0</v>
      </c>
      <c r="H24" s="5">
        <f ca="1">IF(G24=0, 0, IF(H$2=0, 1, IF(Tecnología!G31=Tecnología!G$42, 1, 0)))</f>
        <v>0</v>
      </c>
      <c r="I24" s="5">
        <f ca="1">IF(H24=0, 0, IF(I$2=0, 1, IF(Tecnología!H31=Tecnología!H$42, 1, 0)))</f>
        <v>0</v>
      </c>
      <c r="J24" s="5">
        <f ca="1">IF(I24=0, 0, IF(J$2=0, 1, IF(Tecnología!I31=Tecnología!I$42, 1, 0)))</f>
        <v>0</v>
      </c>
      <c r="K24" s="5">
        <f ca="1">IF(J24=0, 0, IF(K$2=0, 1, IF(Tecnología!J31=Tecnología!J$42, 1, 0)))</f>
        <v>0</v>
      </c>
      <c r="L24" s="5">
        <f ca="1">IF(K24=0, 0, IF(L$2=0, 1, IF(Tecnología!K31=Tecnología!K$42, 1, 0)))</f>
        <v>0</v>
      </c>
      <c r="M24" s="5">
        <f ca="1">IF(L24=0, 0, IF(M$2=0, 1, IF(Tecnología!L31=Tecnología!L$42, 1, 0)))</f>
        <v>0</v>
      </c>
      <c r="N24" s="5">
        <f ca="1">IF(M24=0, 0, IF(N$2=0, 1, IF(Tecnología!M31=Tecnología!M$42, 1, 0)))</f>
        <v>0</v>
      </c>
      <c r="O24" s="5">
        <f ca="1">IF(N24=0, 0, IF(O$2=0, 1, IF(Tecnología!N31=Tecnología!N$42, 1, 0)))</f>
        <v>0</v>
      </c>
      <c r="P24" s="5">
        <f ca="1">IF(O24=0, 0, IF(P$2=0, 1, IF(Tecnología!O31=Tecnología!O$42, 1, 0)))</f>
        <v>0</v>
      </c>
      <c r="Q24" s="5">
        <f ca="1">IF(P24=0, 0, IF(Q$2=0, 1, IF(Tecnología!P31=Tecnología!P$42, 1, 0)))</f>
        <v>0</v>
      </c>
      <c r="R24" s="5">
        <f ca="1">IF(Q24=0, 0, IF(R$2=0, 1, IF(Tecnología!Q31=Tecnología!Q$42, 1, 0)))</f>
        <v>0</v>
      </c>
      <c r="S24" s="5">
        <f ca="1">IF(R24=0, 0, IF(S$2=0, 1, IF(Tecnología!R31=Tecnología!R$42, 1, 0)))</f>
        <v>0</v>
      </c>
      <c r="T24" s="5">
        <f ca="1">IF(S24=0, 0, IF(T$2=0, 1, IF(Tecnología!S31=Tecnología!S$42, 1, 0)))</f>
        <v>0</v>
      </c>
      <c r="U24" s="5">
        <f ca="1">IF(T24=0, 0, IF(U$2=0, 1, IF(Tecnología!T31=Tecnología!T$42, 1, 0)))</f>
        <v>0</v>
      </c>
      <c r="V24" s="5">
        <f ca="1">IF(U24=0, 0, IF(V$2=0, 1, IF(Tecnología!U31=Tecnología!U$42, 1, 0)))</f>
        <v>0</v>
      </c>
    </row>
    <row r="25" spans="1:22" s="2" customFormat="1" x14ac:dyDescent="0.35">
      <c r="A25" s="1">
        <v>22</v>
      </c>
      <c r="B25" s="3">
        <v>1</v>
      </c>
      <c r="C25" s="5">
        <f>IF(B25=0, 0, IF(C$2=0, 1, IF(Tecnología!B32=Tecnología!B$42, 1, 0)))</f>
        <v>1</v>
      </c>
      <c r="D25" s="5">
        <f>IF(C25=0, 0, IF(D$2=0, 1, IF(Tecnología!C32=Tecnología!C$42, 1, 0)))</f>
        <v>1</v>
      </c>
      <c r="E25" s="5">
        <f>IF(D25=0, 0, IF(E$2=0, 1, IF(Tecnología!D32=Tecnología!D$42, 1, 0)))</f>
        <v>1</v>
      </c>
      <c r="F25" s="5">
        <f>IF(E25=0, 0, IF(F$2=0, 1, IF(Tecnología!E32=Tecnología!E$42, 1, 0)))</f>
        <v>1</v>
      </c>
      <c r="G25" s="5">
        <f ca="1">IF(F25=0, 0, IF(G$2=0, 1, IF(Tecnología!F32=Tecnología!F$42, 1, 0)))</f>
        <v>0</v>
      </c>
      <c r="H25" s="5">
        <f ca="1">IF(G25=0, 0, IF(H$2=0, 1, IF(Tecnología!G32=Tecnología!G$42, 1, 0)))</f>
        <v>0</v>
      </c>
      <c r="I25" s="5">
        <f ca="1">IF(H25=0, 0, IF(I$2=0, 1, IF(Tecnología!H32=Tecnología!H$42, 1, 0)))</f>
        <v>0</v>
      </c>
      <c r="J25" s="5">
        <f ca="1">IF(I25=0, 0, IF(J$2=0, 1, IF(Tecnología!I32=Tecnología!I$42, 1, 0)))</f>
        <v>0</v>
      </c>
      <c r="K25" s="5">
        <f ca="1">IF(J25=0, 0, IF(K$2=0, 1, IF(Tecnología!J32=Tecnología!J$42, 1, 0)))</f>
        <v>0</v>
      </c>
      <c r="L25" s="5">
        <f ca="1">IF(K25=0, 0, IF(L$2=0, 1, IF(Tecnología!K32=Tecnología!K$42, 1, 0)))</f>
        <v>0</v>
      </c>
      <c r="M25" s="5">
        <f ca="1">IF(L25=0, 0, IF(M$2=0, 1, IF(Tecnología!L32=Tecnología!L$42, 1, 0)))</f>
        <v>0</v>
      </c>
      <c r="N25" s="5">
        <f ca="1">IF(M25=0, 0, IF(N$2=0, 1, IF(Tecnología!M32=Tecnología!M$42, 1, 0)))</f>
        <v>0</v>
      </c>
      <c r="O25" s="5">
        <f ca="1">IF(N25=0, 0, IF(O$2=0, 1, IF(Tecnología!N32=Tecnología!N$42, 1, 0)))</f>
        <v>0</v>
      </c>
      <c r="P25" s="5">
        <f ca="1">IF(O25=0, 0, IF(P$2=0, 1, IF(Tecnología!O32=Tecnología!O$42, 1, 0)))</f>
        <v>0</v>
      </c>
      <c r="Q25" s="5">
        <f ca="1">IF(P25=0, 0, IF(Q$2=0, 1, IF(Tecnología!P32=Tecnología!P$42, 1, 0)))</f>
        <v>0</v>
      </c>
      <c r="R25" s="5">
        <f ca="1">IF(Q25=0, 0, IF(R$2=0, 1, IF(Tecnología!Q32=Tecnología!Q$42, 1, 0)))</f>
        <v>0</v>
      </c>
      <c r="S25" s="5">
        <f ca="1">IF(R25=0, 0, IF(S$2=0, 1, IF(Tecnología!R32=Tecnología!R$42, 1, 0)))</f>
        <v>0</v>
      </c>
      <c r="T25" s="5">
        <f ca="1">IF(S25=0, 0, IF(T$2=0, 1, IF(Tecnología!S32=Tecnología!S$42, 1, 0)))</f>
        <v>0</v>
      </c>
      <c r="U25" s="5">
        <f ca="1">IF(T25=0, 0, IF(U$2=0, 1, IF(Tecnología!T32=Tecnología!T$42, 1, 0)))</f>
        <v>0</v>
      </c>
      <c r="V25" s="5">
        <f ca="1">IF(U25=0, 0, IF(V$2=0, 1, IF(Tecnología!U32=Tecnología!U$42, 1, 0)))</f>
        <v>0</v>
      </c>
    </row>
    <row r="26" spans="1:22" s="2" customFormat="1" x14ac:dyDescent="0.35">
      <c r="A26" s="1">
        <v>23</v>
      </c>
      <c r="B26" s="3">
        <v>1</v>
      </c>
      <c r="C26" s="5">
        <f>IF(B26=0, 0, IF(C$2=0, 1, IF(Tecnología!B33=Tecnología!B$42, 1, 0)))</f>
        <v>1</v>
      </c>
      <c r="D26" s="5">
        <f>IF(C26=0, 0, IF(D$2=0, 1, IF(Tecnología!C33=Tecnología!C$42, 1, 0)))</f>
        <v>1</v>
      </c>
      <c r="E26" s="5">
        <f>IF(D26=0, 0, IF(E$2=0, 1, IF(Tecnología!D33=Tecnología!D$42, 1, 0)))</f>
        <v>1</v>
      </c>
      <c r="F26" s="5">
        <f>IF(E26=0, 0, IF(F$2=0, 1, IF(Tecnología!E33=Tecnología!E$42, 1, 0)))</f>
        <v>1</v>
      </c>
      <c r="G26" s="5">
        <f ca="1">IF(F26=0, 0, IF(G$2=0, 1, IF(Tecnología!F33=Tecnología!F$42, 1, 0)))</f>
        <v>1</v>
      </c>
      <c r="H26" s="5">
        <f ca="1">IF(G26=0, 0, IF(H$2=0, 1, IF(Tecnología!G33=Tecnología!G$42, 1, 0)))</f>
        <v>1</v>
      </c>
      <c r="I26" s="5">
        <f ca="1">IF(H26=0, 0, IF(I$2=0, 1, IF(Tecnología!H33=Tecnología!H$42, 1, 0)))</f>
        <v>1</v>
      </c>
      <c r="J26" s="5">
        <f ca="1">IF(I26=0, 0, IF(J$2=0, 1, IF(Tecnología!I33=Tecnología!I$42, 1, 0)))</f>
        <v>1</v>
      </c>
      <c r="K26" s="5">
        <f ca="1">IF(J26=0, 0, IF(K$2=0, 1, IF(Tecnología!J33=Tecnología!J$42, 1, 0)))</f>
        <v>1</v>
      </c>
      <c r="L26" s="5">
        <f ca="1">IF(K26=0, 0, IF(L$2=0, 1, IF(Tecnología!K33=Tecnología!K$42, 1, 0)))</f>
        <v>1</v>
      </c>
      <c r="M26" s="5">
        <f ca="1">IF(L26=0, 0, IF(M$2=0, 1, IF(Tecnología!L33=Tecnología!L$42, 1, 0)))</f>
        <v>1</v>
      </c>
      <c r="N26" s="5">
        <f ca="1">IF(M26=0, 0, IF(N$2=0, 1, IF(Tecnología!M33=Tecnología!M$42, 1, 0)))</f>
        <v>1</v>
      </c>
      <c r="O26" s="5">
        <f ca="1">IF(N26=0, 0, IF(O$2=0, 1, IF(Tecnología!N33=Tecnología!N$42, 1, 0)))</f>
        <v>0</v>
      </c>
      <c r="P26" s="5">
        <f ca="1">IF(O26=0, 0, IF(P$2=0, 1, IF(Tecnología!O33=Tecnología!O$42, 1, 0)))</f>
        <v>0</v>
      </c>
      <c r="Q26" s="5">
        <f ca="1">IF(P26=0, 0, IF(Q$2=0, 1, IF(Tecnología!P33=Tecnología!P$42, 1, 0)))</f>
        <v>0</v>
      </c>
      <c r="R26" s="5">
        <f ca="1">IF(Q26=0, 0, IF(R$2=0, 1, IF(Tecnología!Q33=Tecnología!Q$42, 1, 0)))</f>
        <v>0</v>
      </c>
      <c r="S26" s="5">
        <f ca="1">IF(R26=0, 0, IF(S$2=0, 1, IF(Tecnología!R33=Tecnología!R$42, 1, 0)))</f>
        <v>0</v>
      </c>
      <c r="T26" s="5">
        <f ca="1">IF(S26=0, 0, IF(T$2=0, 1, IF(Tecnología!S33=Tecnología!S$42, 1, 0)))</f>
        <v>0</v>
      </c>
      <c r="U26" s="5">
        <f ca="1">IF(T26=0, 0, IF(U$2=0, 1, IF(Tecnología!T33=Tecnología!T$42, 1, 0)))</f>
        <v>0</v>
      </c>
      <c r="V26" s="5">
        <f ca="1">IF(U26=0, 0, IF(V$2=0, 1, IF(Tecnología!U33=Tecnología!U$42, 1, 0)))</f>
        <v>0</v>
      </c>
    </row>
    <row r="27" spans="1:22" s="2" customFormat="1" x14ac:dyDescent="0.35">
      <c r="A27" s="1">
        <v>24</v>
      </c>
      <c r="B27" s="3">
        <v>1</v>
      </c>
      <c r="C27" s="5">
        <f>IF(B27=0, 0, IF(C$2=0, 1, IF(Tecnología!B34=Tecnología!B$42, 1, 0)))</f>
        <v>1</v>
      </c>
      <c r="D27" s="5">
        <f>IF(C27=0, 0, IF(D$2=0, 1, IF(Tecnología!C34=Tecnología!C$42, 1, 0)))</f>
        <v>1</v>
      </c>
      <c r="E27" s="5">
        <f>IF(D27=0, 0, IF(E$2=0, 1, IF(Tecnología!D34=Tecnología!D$42, 1, 0)))</f>
        <v>1</v>
      </c>
      <c r="F27" s="5">
        <f>IF(E27=0, 0, IF(F$2=0, 1, IF(Tecnología!E34=Tecnología!E$42, 1, 0)))</f>
        <v>1</v>
      </c>
      <c r="G27" s="5">
        <f ca="1">IF(F27=0, 0, IF(G$2=0, 1, IF(Tecnología!F34=Tecnología!F$42, 1, 0)))</f>
        <v>1</v>
      </c>
      <c r="H27" s="5">
        <f ca="1">IF(G27=0, 0, IF(H$2=0, 1, IF(Tecnología!G34=Tecnología!G$42, 1, 0)))</f>
        <v>1</v>
      </c>
      <c r="I27" s="5">
        <f ca="1">IF(H27=0, 0, IF(I$2=0, 1, IF(Tecnología!H34=Tecnología!H$42, 1, 0)))</f>
        <v>1</v>
      </c>
      <c r="J27" s="5">
        <f ca="1">IF(I27=0, 0, IF(J$2=0, 1, IF(Tecnología!I34=Tecnología!I$42, 1, 0)))</f>
        <v>1</v>
      </c>
      <c r="K27" s="5">
        <f ca="1">IF(J27=0, 0, IF(K$2=0, 1, IF(Tecnología!J34=Tecnología!J$42, 1, 0)))</f>
        <v>0</v>
      </c>
      <c r="L27" s="5">
        <f ca="1">IF(K27=0, 0, IF(L$2=0, 1, IF(Tecnología!K34=Tecnología!K$42, 1, 0)))</f>
        <v>0</v>
      </c>
      <c r="M27" s="5">
        <f ca="1">IF(L27=0, 0, IF(M$2=0, 1, IF(Tecnología!L34=Tecnología!L$42, 1, 0)))</f>
        <v>0</v>
      </c>
      <c r="N27" s="5">
        <f ca="1">IF(M27=0, 0, IF(N$2=0, 1, IF(Tecnología!M34=Tecnología!M$42, 1, 0)))</f>
        <v>0</v>
      </c>
      <c r="O27" s="5">
        <f ca="1">IF(N27=0, 0, IF(O$2=0, 1, IF(Tecnología!N34=Tecnología!N$42, 1, 0)))</f>
        <v>0</v>
      </c>
      <c r="P27" s="5">
        <f ca="1">IF(O27=0, 0, IF(P$2=0, 1, IF(Tecnología!O34=Tecnología!O$42, 1, 0)))</f>
        <v>0</v>
      </c>
      <c r="Q27" s="5">
        <f ca="1">IF(P27=0, 0, IF(Q$2=0, 1, IF(Tecnología!P34=Tecnología!P$42, 1, 0)))</f>
        <v>0</v>
      </c>
      <c r="R27" s="5">
        <f ca="1">IF(Q27=0, 0, IF(R$2=0, 1, IF(Tecnología!Q34=Tecnología!Q$42, 1, 0)))</f>
        <v>0</v>
      </c>
      <c r="S27" s="5">
        <f ca="1">IF(R27=0, 0, IF(S$2=0, 1, IF(Tecnología!R34=Tecnología!R$42, 1, 0)))</f>
        <v>0</v>
      </c>
      <c r="T27" s="5">
        <f ca="1">IF(S27=0, 0, IF(T$2=0, 1, IF(Tecnología!S34=Tecnología!S$42, 1, 0)))</f>
        <v>0</v>
      </c>
      <c r="U27" s="5">
        <f ca="1">IF(T27=0, 0, IF(U$2=0, 1, IF(Tecnología!T34=Tecnología!T$42, 1, 0)))</f>
        <v>0</v>
      </c>
      <c r="V27" s="5">
        <f ca="1">IF(U27=0, 0, IF(V$2=0, 1, IF(Tecnología!U34=Tecnología!U$42, 1, 0)))</f>
        <v>0</v>
      </c>
    </row>
    <row r="28" spans="1:22" s="2" customFormat="1" x14ac:dyDescent="0.35">
      <c r="A28" s="1">
        <v>25</v>
      </c>
      <c r="B28" s="3">
        <v>1</v>
      </c>
      <c r="C28" s="5">
        <f>IF(B28=0, 0, IF(C$2=0, 1, IF(Tecnología!B35=Tecnología!B$42, 1, 0)))</f>
        <v>1</v>
      </c>
      <c r="D28" s="5">
        <f>IF(C28=0, 0, IF(D$2=0, 1, IF(Tecnología!C35=Tecnología!C$42, 1, 0)))</f>
        <v>1</v>
      </c>
      <c r="E28" s="5">
        <f>IF(D28=0, 0, IF(E$2=0, 1, IF(Tecnología!D35=Tecnología!D$42, 1, 0)))</f>
        <v>1</v>
      </c>
      <c r="F28" s="5">
        <f>IF(E28=0, 0, IF(F$2=0, 1, IF(Tecnología!E35=Tecnología!E$42, 1, 0)))</f>
        <v>1</v>
      </c>
      <c r="G28" s="5">
        <f ca="1">IF(F28=0, 0, IF(G$2=0, 1, IF(Tecnología!F35=Tecnología!F$42, 1, 0)))</f>
        <v>1</v>
      </c>
      <c r="H28" s="5">
        <f ca="1">IF(G28=0, 0, IF(H$2=0, 1, IF(Tecnología!G35=Tecnología!G$42, 1, 0)))</f>
        <v>1</v>
      </c>
      <c r="I28" s="5">
        <f ca="1">IF(H28=0, 0, IF(I$2=0, 1, IF(Tecnología!H35=Tecnología!H$42, 1, 0)))</f>
        <v>1</v>
      </c>
      <c r="J28" s="5">
        <f ca="1">IF(I28=0, 0, IF(J$2=0, 1, IF(Tecnología!I35=Tecnología!I$42, 1, 0)))</f>
        <v>1</v>
      </c>
      <c r="K28" s="5">
        <f ca="1">IF(J28=0, 0, IF(K$2=0, 1, IF(Tecnología!J35=Tecnología!J$42, 1, 0)))</f>
        <v>1</v>
      </c>
      <c r="L28" s="5">
        <f ca="1">IF(K28=0, 0, IF(L$2=0, 1, IF(Tecnología!K35=Tecnología!K$42, 1, 0)))</f>
        <v>1</v>
      </c>
      <c r="M28" s="5">
        <f ca="1">IF(L28=0, 0, IF(M$2=0, 1, IF(Tecnología!L35=Tecnología!L$42, 1, 0)))</f>
        <v>1</v>
      </c>
      <c r="N28" s="5">
        <f ca="1">IF(M28=0, 0, IF(N$2=0, 1, IF(Tecnología!M35=Tecnología!M$42, 1, 0)))</f>
        <v>1</v>
      </c>
      <c r="O28" s="5">
        <f ca="1">IF(N28=0, 0, IF(O$2=0, 1, IF(Tecnología!N35=Tecnología!N$42, 1, 0)))</f>
        <v>0</v>
      </c>
      <c r="P28" s="5">
        <f ca="1">IF(O28=0, 0, IF(P$2=0, 1, IF(Tecnología!O35=Tecnología!O$42, 1, 0)))</f>
        <v>0</v>
      </c>
      <c r="Q28" s="5">
        <f ca="1">IF(P28=0, 0, IF(Q$2=0, 1, IF(Tecnología!P35=Tecnología!P$42, 1, 0)))</f>
        <v>0</v>
      </c>
      <c r="R28" s="5">
        <f ca="1">IF(Q28=0, 0, IF(R$2=0, 1, IF(Tecnología!Q35=Tecnología!Q$42, 1, 0)))</f>
        <v>0</v>
      </c>
      <c r="S28" s="5">
        <f ca="1">IF(R28=0, 0, IF(S$2=0, 1, IF(Tecnología!R35=Tecnología!R$42, 1, 0)))</f>
        <v>0</v>
      </c>
      <c r="T28" s="5">
        <f ca="1">IF(S28=0, 0, IF(T$2=0, 1, IF(Tecnología!S35=Tecnología!S$42, 1, 0)))</f>
        <v>0</v>
      </c>
      <c r="U28" s="5">
        <f ca="1">IF(T28=0, 0, IF(U$2=0, 1, IF(Tecnología!T35=Tecnología!T$42, 1, 0)))</f>
        <v>0</v>
      </c>
      <c r="V28" s="5">
        <f ca="1">IF(U28=0, 0, IF(V$2=0, 1, IF(Tecnología!U35=Tecnología!U$42, 1, 0)))</f>
        <v>0</v>
      </c>
    </row>
    <row r="29" spans="1:22" s="2" customFormat="1" x14ac:dyDescent="0.35">
      <c r="A29" s="1">
        <v>26</v>
      </c>
      <c r="B29" s="3">
        <v>1</v>
      </c>
      <c r="C29" s="5">
        <f>IF(B29=0, 0, IF(C$2=0, 1, IF(Tecnología!B36=Tecnología!B$42, 1, 0)))</f>
        <v>1</v>
      </c>
      <c r="D29" s="5">
        <f>IF(C29=0, 0, IF(D$2=0, 1, IF(Tecnología!C36=Tecnología!C$42, 1, 0)))</f>
        <v>1</v>
      </c>
      <c r="E29" s="5">
        <f>IF(D29=0, 0, IF(E$2=0, 1, IF(Tecnología!D36=Tecnología!D$42, 1, 0)))</f>
        <v>1</v>
      </c>
      <c r="F29" s="5">
        <f>IF(E29=0, 0, IF(F$2=0, 1, IF(Tecnología!E36=Tecnología!E$42, 1, 0)))</f>
        <v>1</v>
      </c>
      <c r="G29" s="5">
        <f ca="1">IF(F29=0, 0, IF(G$2=0, 1, IF(Tecnología!F36=Tecnología!F$42, 1, 0)))</f>
        <v>1</v>
      </c>
      <c r="H29" s="5">
        <f ca="1">IF(G29=0, 0, IF(H$2=0, 1, IF(Tecnología!G36=Tecnología!G$42, 1, 0)))</f>
        <v>1</v>
      </c>
      <c r="I29" s="5">
        <f ca="1">IF(H29=0, 0, IF(I$2=0, 1, IF(Tecnología!H36=Tecnología!H$42, 1, 0)))</f>
        <v>1</v>
      </c>
      <c r="J29" s="5">
        <f ca="1">IF(I29=0, 0, IF(J$2=0, 1, IF(Tecnología!I36=Tecnología!I$42, 1, 0)))</f>
        <v>1</v>
      </c>
      <c r="K29" s="5">
        <f ca="1">IF(J29=0, 0, IF(K$2=0, 1, IF(Tecnología!J36=Tecnología!J$42, 1, 0)))</f>
        <v>1</v>
      </c>
      <c r="L29" s="5">
        <f ca="1">IF(K29=0, 0, IF(L$2=0, 1, IF(Tecnología!K36=Tecnología!K$42, 1, 0)))</f>
        <v>1</v>
      </c>
      <c r="M29" s="5">
        <f ca="1">IF(L29=0, 0, IF(M$2=0, 1, IF(Tecnología!L36=Tecnología!L$42, 1, 0)))</f>
        <v>1</v>
      </c>
      <c r="N29" s="5">
        <f ca="1">IF(M29=0, 0, IF(N$2=0, 1, IF(Tecnología!M36=Tecnología!M$42, 1, 0)))</f>
        <v>1</v>
      </c>
      <c r="O29" s="5">
        <f ca="1">IF(N29=0, 0, IF(O$2=0, 1, IF(Tecnología!N36=Tecnología!N$42, 1, 0)))</f>
        <v>1</v>
      </c>
      <c r="P29" s="5">
        <f ca="1">IF(O29=0, 0, IF(P$2=0, 1, IF(Tecnología!O36=Tecnología!O$42, 1, 0)))</f>
        <v>1</v>
      </c>
      <c r="Q29" s="5">
        <f ca="1">IF(P29=0, 0, IF(Q$2=0, 1, IF(Tecnología!P36=Tecnología!P$42, 1, 0)))</f>
        <v>1</v>
      </c>
      <c r="R29" s="5">
        <f ca="1">IF(Q29=0, 0, IF(R$2=0, 1, IF(Tecnología!Q36=Tecnología!Q$42, 1, 0)))</f>
        <v>1</v>
      </c>
      <c r="S29" s="5">
        <f ca="1">IF(R29=0, 0, IF(S$2=0, 1, IF(Tecnología!R36=Tecnología!R$42, 1, 0)))</f>
        <v>1</v>
      </c>
      <c r="T29" s="5">
        <f ca="1">IF(S29=0, 0, IF(T$2=0, 1, IF(Tecnología!S36=Tecnología!S$42, 1, 0)))</f>
        <v>1</v>
      </c>
      <c r="U29" s="5">
        <f ca="1">IF(T29=0, 0, IF(U$2=0, 1, IF(Tecnología!T36=Tecnología!T$42, 1, 0)))</f>
        <v>1</v>
      </c>
      <c r="V29" s="5">
        <f ca="1">IF(U29=0, 0, IF(V$2=0, 1, IF(Tecnología!U36=Tecnología!U$42, 1, 0)))</f>
        <v>1</v>
      </c>
    </row>
    <row r="30" spans="1:22" s="2" customFormat="1" x14ac:dyDescent="0.35">
      <c r="A30" s="1">
        <v>27</v>
      </c>
      <c r="B30" s="3">
        <v>1</v>
      </c>
      <c r="C30" s="5">
        <f>IF(B30=0, 0, IF(C$2=0, 1, IF(Tecnología!B37=Tecnología!B$42, 1, 0)))</f>
        <v>1</v>
      </c>
      <c r="D30" s="5">
        <f>IF(C30=0, 0, IF(D$2=0, 1, IF(Tecnología!C37=Tecnología!C$42, 1, 0)))</f>
        <v>1</v>
      </c>
      <c r="E30" s="5">
        <f>IF(D30=0, 0, IF(E$2=0, 1, IF(Tecnología!D37=Tecnología!D$42, 1, 0)))</f>
        <v>1</v>
      </c>
      <c r="F30" s="5">
        <f>IF(E30=0, 0, IF(F$2=0, 1, IF(Tecnología!E37=Tecnología!E$42, 1, 0)))</f>
        <v>1</v>
      </c>
      <c r="G30" s="5">
        <f ca="1">IF(F30=0, 0, IF(G$2=0, 1, IF(Tecnología!F37=Tecnología!F$42, 1, 0)))</f>
        <v>1</v>
      </c>
      <c r="H30" s="5">
        <f ca="1">IF(G30=0, 0, IF(H$2=0, 1, IF(Tecnología!G37=Tecnología!G$42, 1, 0)))</f>
        <v>1</v>
      </c>
      <c r="I30" s="5">
        <f ca="1">IF(H30=0, 0, IF(I$2=0, 1, IF(Tecnología!H37=Tecnología!H$42, 1, 0)))</f>
        <v>1</v>
      </c>
      <c r="J30" s="5">
        <f ca="1">IF(I30=0, 0, IF(J$2=0, 1, IF(Tecnología!I37=Tecnología!I$42, 1, 0)))</f>
        <v>1</v>
      </c>
      <c r="K30" s="5">
        <f ca="1">IF(J30=0, 0, IF(K$2=0, 1, IF(Tecnología!J37=Tecnología!J$42, 1, 0)))</f>
        <v>0</v>
      </c>
      <c r="L30" s="5">
        <f ca="1">IF(K30=0, 0, IF(L$2=0, 1, IF(Tecnología!K37=Tecnología!K$42, 1, 0)))</f>
        <v>0</v>
      </c>
      <c r="M30" s="5">
        <f ca="1">IF(L30=0, 0, IF(M$2=0, 1, IF(Tecnología!L37=Tecnología!L$42, 1, 0)))</f>
        <v>0</v>
      </c>
      <c r="N30" s="5">
        <f ca="1">IF(M30=0, 0, IF(N$2=0, 1, IF(Tecnología!M37=Tecnología!M$42, 1, 0)))</f>
        <v>0</v>
      </c>
      <c r="O30" s="5">
        <f ca="1">IF(N30=0, 0, IF(O$2=0, 1, IF(Tecnología!N37=Tecnología!N$42, 1, 0)))</f>
        <v>0</v>
      </c>
      <c r="P30" s="5">
        <f ca="1">IF(O30=0, 0, IF(P$2=0, 1, IF(Tecnología!O37=Tecnología!O$42, 1, 0)))</f>
        <v>0</v>
      </c>
      <c r="Q30" s="5">
        <f ca="1">IF(P30=0, 0, IF(Q$2=0, 1, IF(Tecnología!P37=Tecnología!P$42, 1, 0)))</f>
        <v>0</v>
      </c>
      <c r="R30" s="5">
        <f ca="1">IF(Q30=0, 0, IF(R$2=0, 1, IF(Tecnología!Q37=Tecnología!Q$42, 1, 0)))</f>
        <v>0</v>
      </c>
      <c r="S30" s="5">
        <f ca="1">IF(R30=0, 0, IF(S$2=0, 1, IF(Tecnología!R37=Tecnología!R$42, 1, 0)))</f>
        <v>0</v>
      </c>
      <c r="T30" s="5">
        <f ca="1">IF(S30=0, 0, IF(T$2=0, 1, IF(Tecnología!S37=Tecnología!S$42, 1, 0)))</f>
        <v>0</v>
      </c>
      <c r="U30" s="5">
        <f ca="1">IF(T30=0, 0, IF(U$2=0, 1, IF(Tecnología!T37=Tecnología!T$42, 1, 0)))</f>
        <v>0</v>
      </c>
      <c r="V30" s="5">
        <f ca="1">IF(U30=0, 0, IF(V$2=0, 1, IF(Tecnología!U37=Tecnología!U$42, 1, 0)))</f>
        <v>0</v>
      </c>
    </row>
    <row r="31" spans="1:22" s="2" customFormat="1" x14ac:dyDescent="0.35">
      <c r="A31" s="1">
        <v>28</v>
      </c>
      <c r="B31" s="3">
        <v>1</v>
      </c>
      <c r="C31" s="5">
        <f>IF(B31=0, 0, IF(C$2=0, 1, IF(Tecnología!B38=Tecnología!B$42, 1, 0)))</f>
        <v>1</v>
      </c>
      <c r="D31" s="5">
        <f>IF(C31=0, 0, IF(D$2=0, 1, IF(Tecnología!C38=Tecnología!C$42, 1, 0)))</f>
        <v>1</v>
      </c>
      <c r="E31" s="5">
        <f>IF(D31=0, 0, IF(E$2=0, 1, IF(Tecnología!D38=Tecnología!D$42, 1, 0)))</f>
        <v>1</v>
      </c>
      <c r="F31" s="5">
        <f>IF(E31=0, 0, IF(F$2=0, 1, IF(Tecnología!E38=Tecnología!E$42, 1, 0)))</f>
        <v>1</v>
      </c>
      <c r="G31" s="5">
        <f ca="1">IF(F31=0, 0, IF(G$2=0, 1, IF(Tecnología!F38=Tecnología!F$42, 1, 0)))</f>
        <v>1</v>
      </c>
      <c r="H31" s="5">
        <f ca="1">IF(G31=0, 0, IF(H$2=0, 1, IF(Tecnología!G38=Tecnología!G$42, 1, 0)))</f>
        <v>1</v>
      </c>
      <c r="I31" s="5">
        <f ca="1">IF(H31=0, 0, IF(I$2=0, 1, IF(Tecnología!H38=Tecnología!H$42, 1, 0)))</f>
        <v>1</v>
      </c>
      <c r="J31" s="5">
        <f ca="1">IF(I31=0, 0, IF(J$2=0, 1, IF(Tecnología!I38=Tecnología!I$42, 1, 0)))</f>
        <v>1</v>
      </c>
      <c r="K31" s="5">
        <f ca="1">IF(J31=0, 0, IF(K$2=0, 1, IF(Tecnología!J38=Tecnología!J$42, 1, 0)))</f>
        <v>1</v>
      </c>
      <c r="L31" s="5">
        <f ca="1">IF(K31=0, 0, IF(L$2=0, 1, IF(Tecnología!K38=Tecnología!K$42, 1, 0)))</f>
        <v>1</v>
      </c>
      <c r="M31" s="5">
        <f ca="1">IF(L31=0, 0, IF(M$2=0, 1, IF(Tecnología!L38=Tecnología!L$42, 1, 0)))</f>
        <v>1</v>
      </c>
      <c r="N31" s="5">
        <f ca="1">IF(M31=0, 0, IF(N$2=0, 1, IF(Tecnología!M38=Tecnología!M$42, 1, 0)))</f>
        <v>1</v>
      </c>
      <c r="O31" s="5">
        <f ca="1">IF(N31=0, 0, IF(O$2=0, 1, IF(Tecnología!N38=Tecnología!N$42, 1, 0)))</f>
        <v>1</v>
      </c>
      <c r="P31" s="5">
        <f ca="1">IF(O31=0, 0, IF(P$2=0, 1, IF(Tecnología!O38=Tecnología!O$42, 1, 0)))</f>
        <v>1</v>
      </c>
      <c r="Q31" s="5">
        <f ca="1">IF(P31=0, 0, IF(Q$2=0, 1, IF(Tecnología!P38=Tecnología!P$42, 1, 0)))</f>
        <v>1</v>
      </c>
      <c r="R31" s="5">
        <f ca="1">IF(Q31=0, 0, IF(R$2=0, 1, IF(Tecnología!Q38=Tecnología!Q$42, 1, 0)))</f>
        <v>1</v>
      </c>
      <c r="S31" s="5">
        <f ca="1">IF(R31=0, 0, IF(S$2=0, 1, IF(Tecnología!R38=Tecnología!R$42, 1, 0)))</f>
        <v>1</v>
      </c>
      <c r="T31" s="5">
        <f ca="1">IF(S31=0, 0, IF(T$2=0, 1, IF(Tecnología!S38=Tecnología!S$42, 1, 0)))</f>
        <v>1</v>
      </c>
      <c r="U31" s="5">
        <f ca="1">IF(T31=0, 0, IF(U$2=0, 1, IF(Tecnología!T38=Tecnología!T$42, 1, 0)))</f>
        <v>1</v>
      </c>
      <c r="V31" s="5">
        <f ca="1">IF(U31=0, 0, IF(V$2=0, 1, IF(Tecnología!U38=Tecnología!U$42, 1, 0)))</f>
        <v>1</v>
      </c>
    </row>
    <row r="32" spans="1:22" s="2" customFormat="1" x14ac:dyDescent="0.35">
      <c r="A32" s="1">
        <v>29</v>
      </c>
      <c r="B32" s="3">
        <v>1</v>
      </c>
      <c r="C32" s="5">
        <f>IF(B32=0, 0, IF(C$2=0, 1, IF(Tecnología!B39=Tecnología!B$42, 1, 0)))</f>
        <v>1</v>
      </c>
      <c r="D32" s="5">
        <f>IF(C32=0, 0, IF(D$2=0, 1, IF(Tecnología!C39=Tecnología!C$42, 1, 0)))</f>
        <v>1</v>
      </c>
      <c r="E32" s="5">
        <f>IF(D32=0, 0, IF(E$2=0, 1, IF(Tecnología!D39=Tecnología!D$42, 1, 0)))</f>
        <v>1</v>
      </c>
      <c r="F32" s="5">
        <f>IF(E32=0, 0, IF(F$2=0, 1, IF(Tecnología!E39=Tecnología!E$42, 1, 0)))</f>
        <v>1</v>
      </c>
      <c r="G32" s="5">
        <f ca="1">IF(F32=0, 0, IF(G$2=0, 1, IF(Tecnología!F39=Tecnología!F$42, 1, 0)))</f>
        <v>1</v>
      </c>
      <c r="H32" s="5">
        <f ca="1">IF(G32=0, 0, IF(H$2=0, 1, IF(Tecnología!G39=Tecnología!G$42, 1, 0)))</f>
        <v>1</v>
      </c>
      <c r="I32" s="5">
        <f ca="1">IF(H32=0, 0, IF(I$2=0, 1, IF(Tecnología!H39=Tecnología!H$42, 1, 0)))</f>
        <v>1</v>
      </c>
      <c r="J32" s="5">
        <f ca="1">IF(I32=0, 0, IF(J$2=0, 1, IF(Tecnología!I39=Tecnología!I$42, 1, 0)))</f>
        <v>1</v>
      </c>
      <c r="K32" s="5">
        <f ca="1">IF(J32=0, 0, IF(K$2=0, 1, IF(Tecnología!J39=Tecnología!J$42, 1, 0)))</f>
        <v>0</v>
      </c>
      <c r="L32" s="5">
        <f ca="1">IF(K32=0, 0, IF(L$2=0, 1, IF(Tecnología!K39=Tecnología!K$42, 1, 0)))</f>
        <v>0</v>
      </c>
      <c r="M32" s="5">
        <f ca="1">IF(L32=0, 0, IF(M$2=0, 1, IF(Tecnología!L39=Tecnología!L$42, 1, 0)))</f>
        <v>0</v>
      </c>
      <c r="N32" s="5">
        <f ca="1">IF(M32=0, 0, IF(N$2=0, 1, IF(Tecnología!M39=Tecnología!M$42, 1, 0)))</f>
        <v>0</v>
      </c>
      <c r="O32" s="5">
        <f ca="1">IF(N32=0, 0, IF(O$2=0, 1, IF(Tecnología!N39=Tecnología!N$42, 1, 0)))</f>
        <v>0</v>
      </c>
      <c r="P32" s="5">
        <f ca="1">IF(O32=0, 0, IF(P$2=0, 1, IF(Tecnología!O39=Tecnología!O$42, 1, 0)))</f>
        <v>0</v>
      </c>
      <c r="Q32" s="5">
        <f ca="1">IF(P32=0, 0, IF(Q$2=0, 1, IF(Tecnología!P39=Tecnología!P$42, 1, 0)))</f>
        <v>0</v>
      </c>
      <c r="R32" s="5">
        <f ca="1">IF(Q32=0, 0, IF(R$2=0, 1, IF(Tecnología!Q39=Tecnología!Q$42, 1, 0)))</f>
        <v>0</v>
      </c>
      <c r="S32" s="5">
        <f ca="1">IF(R32=0, 0, IF(S$2=0, 1, IF(Tecnología!R39=Tecnología!R$42, 1, 0)))</f>
        <v>0</v>
      </c>
      <c r="T32" s="5">
        <f ca="1">IF(S32=0, 0, IF(T$2=0, 1, IF(Tecnología!S39=Tecnología!S$42, 1, 0)))</f>
        <v>0</v>
      </c>
      <c r="U32" s="5">
        <f ca="1">IF(T32=0, 0, IF(U$2=0, 1, IF(Tecnología!T39=Tecnología!T$42, 1, 0)))</f>
        <v>0</v>
      </c>
      <c r="V32" s="5">
        <f ca="1">IF(U32=0, 0, IF(V$2=0, 1, IF(Tecnología!U39=Tecnología!U$42, 1, 0)))</f>
        <v>0</v>
      </c>
    </row>
    <row r="33" spans="1:22" s="2" customFormat="1" x14ac:dyDescent="0.35">
      <c r="A33" s="1">
        <v>30</v>
      </c>
      <c r="B33" s="3">
        <v>1</v>
      </c>
      <c r="C33" s="5">
        <f>IF(B33=0, 0, IF(C$2=0, 1, IF(Tecnología!B40=Tecnología!B$42, 1, 0)))</f>
        <v>1</v>
      </c>
      <c r="D33" s="5">
        <f>IF(C33=0, 0, IF(D$2=0, 1, IF(Tecnología!C40=Tecnología!C$42, 1, 0)))</f>
        <v>1</v>
      </c>
      <c r="E33" s="5">
        <f>IF(D33=0, 0, IF(E$2=0, 1, IF(Tecnología!D40=Tecnología!D$42, 1, 0)))</f>
        <v>1</v>
      </c>
      <c r="F33" s="5">
        <f>IF(E33=0, 0, IF(F$2=0, 1, IF(Tecnología!E40=Tecnología!E$42, 1, 0)))</f>
        <v>1</v>
      </c>
      <c r="G33" s="5">
        <f ca="1">IF(F33=0, 0, IF(G$2=0, 1, IF(Tecnología!F40=Tecnología!F$42, 1, 0)))</f>
        <v>1</v>
      </c>
      <c r="H33" s="5">
        <f ca="1">IF(G33=0, 0, IF(H$2=0, 1, IF(Tecnología!G40=Tecnología!G$42, 1, 0)))</f>
        <v>1</v>
      </c>
      <c r="I33" s="5">
        <f ca="1">IF(H33=0, 0, IF(I$2=0, 1, IF(Tecnología!H40=Tecnología!H$42, 1, 0)))</f>
        <v>1</v>
      </c>
      <c r="J33" s="5">
        <f ca="1">IF(I33=0, 0, IF(J$2=0, 1, IF(Tecnología!I40=Tecnología!I$42, 1, 0)))</f>
        <v>1</v>
      </c>
      <c r="K33" s="5">
        <f ca="1">IF(J33=0, 0, IF(K$2=0, 1, IF(Tecnología!J40=Tecnología!J$42, 1, 0)))</f>
        <v>0</v>
      </c>
      <c r="L33" s="5">
        <f ca="1">IF(K33=0, 0, IF(L$2=0, 1, IF(Tecnología!K40=Tecnología!K$42, 1, 0)))</f>
        <v>0</v>
      </c>
      <c r="M33" s="5">
        <f ca="1">IF(L33=0, 0, IF(M$2=0, 1, IF(Tecnología!L40=Tecnología!L$42, 1, 0)))</f>
        <v>0</v>
      </c>
      <c r="N33" s="5">
        <f ca="1">IF(M33=0, 0, IF(N$2=0, 1, IF(Tecnología!M40=Tecnología!M$42, 1, 0)))</f>
        <v>0</v>
      </c>
      <c r="O33" s="5">
        <f ca="1">IF(N33=0, 0, IF(O$2=0, 1, IF(Tecnología!N40=Tecnología!N$42, 1, 0)))</f>
        <v>0</v>
      </c>
      <c r="P33" s="5">
        <f ca="1">IF(O33=0, 0, IF(P$2=0, 1, IF(Tecnología!O40=Tecnología!O$42, 1, 0)))</f>
        <v>0</v>
      </c>
      <c r="Q33" s="5">
        <f ca="1">IF(P33=0, 0, IF(Q$2=0, 1, IF(Tecnología!P40=Tecnología!P$42, 1, 0)))</f>
        <v>0</v>
      </c>
      <c r="R33" s="5">
        <f ca="1">IF(Q33=0, 0, IF(R$2=0, 1, IF(Tecnología!Q40=Tecnología!Q$42, 1, 0)))</f>
        <v>0</v>
      </c>
      <c r="S33" s="5">
        <f ca="1">IF(R33=0, 0, IF(S$2=0, 1, IF(Tecnología!R40=Tecnología!R$42, 1, 0)))</f>
        <v>0</v>
      </c>
      <c r="T33" s="5">
        <f ca="1">IF(S33=0, 0, IF(T$2=0, 1, IF(Tecnología!S40=Tecnología!S$42, 1, 0)))</f>
        <v>0</v>
      </c>
      <c r="U33" s="5">
        <f ca="1">IF(T33=0, 0, IF(U$2=0, 1, IF(Tecnología!T40=Tecnología!T$42, 1, 0)))</f>
        <v>0</v>
      </c>
      <c r="V33" s="5">
        <f ca="1">IF(U33=0, 0, IF(V$2=0, 1, IF(Tecnología!U40=Tecnología!U$42, 1, 0)))</f>
        <v>0</v>
      </c>
    </row>
    <row r="35" spans="1:22" s="3" customFormat="1" x14ac:dyDescent="0.35">
      <c r="A35" s="10" t="s">
        <v>14</v>
      </c>
      <c r="B35" s="3">
        <f>SUM(B4:B33)</f>
        <v>30</v>
      </c>
      <c r="C35" s="3">
        <f>SUM(C4:C33)</f>
        <v>30</v>
      </c>
      <c r="D35" s="3">
        <f t="shared" ref="D35:V35" si="0">SUM(D4:D33)</f>
        <v>30</v>
      </c>
      <c r="E35" s="3">
        <f t="shared" si="0"/>
        <v>30</v>
      </c>
      <c r="F35" s="3">
        <f t="shared" si="0"/>
        <v>30</v>
      </c>
      <c r="G35" s="3">
        <f t="shared" ca="1" si="0"/>
        <v>25</v>
      </c>
      <c r="H35" s="3">
        <f t="shared" ca="1" si="0"/>
        <v>25</v>
      </c>
      <c r="I35" s="3">
        <f t="shared" ca="1" si="0"/>
        <v>25</v>
      </c>
      <c r="J35" s="3">
        <f t="shared" ca="1" si="0"/>
        <v>25</v>
      </c>
      <c r="K35" s="3">
        <f t="shared" ca="1" si="0"/>
        <v>16</v>
      </c>
      <c r="L35" s="3">
        <f t="shared" ca="1" si="0"/>
        <v>16</v>
      </c>
      <c r="M35" s="3">
        <f t="shared" ca="1" si="0"/>
        <v>16</v>
      </c>
      <c r="N35" s="3">
        <f t="shared" ca="1" si="0"/>
        <v>16</v>
      </c>
      <c r="O35" s="3">
        <f t="shared" ca="1" si="0"/>
        <v>12</v>
      </c>
      <c r="P35" s="3">
        <f t="shared" ca="1" si="0"/>
        <v>12</v>
      </c>
      <c r="Q35" s="3">
        <f t="shared" ca="1" si="0"/>
        <v>12</v>
      </c>
      <c r="R35" s="3">
        <f t="shared" ca="1" si="0"/>
        <v>12</v>
      </c>
      <c r="S35" s="3">
        <f t="shared" ca="1" si="0"/>
        <v>9</v>
      </c>
      <c r="T35" s="3">
        <f t="shared" ca="1" si="0"/>
        <v>9</v>
      </c>
      <c r="U35" s="3">
        <f t="shared" ca="1" si="0"/>
        <v>9</v>
      </c>
      <c r="V35" s="3">
        <f t="shared" ca="1" si="0"/>
        <v>9</v>
      </c>
    </row>
    <row r="36" spans="1:22" s="3" customFormat="1" x14ac:dyDescent="0.35">
      <c r="A36" s="11" t="s">
        <v>6</v>
      </c>
      <c r="B36" s="8">
        <f>B35/30</f>
        <v>1</v>
      </c>
      <c r="C36" s="8">
        <f>C35/30</f>
        <v>1</v>
      </c>
      <c r="D36" s="8">
        <f t="shared" ref="D36:V36" si="1">D35/30</f>
        <v>1</v>
      </c>
      <c r="E36" s="8">
        <f t="shared" si="1"/>
        <v>1</v>
      </c>
      <c r="F36" s="8">
        <f t="shared" si="1"/>
        <v>1</v>
      </c>
      <c r="G36" s="8">
        <f t="shared" ca="1" si="1"/>
        <v>0.83333333333333337</v>
      </c>
      <c r="H36" s="8">
        <f t="shared" ca="1" si="1"/>
        <v>0.83333333333333337</v>
      </c>
      <c r="I36" s="8">
        <f t="shared" ca="1" si="1"/>
        <v>0.83333333333333337</v>
      </c>
      <c r="J36" s="8">
        <f t="shared" ca="1" si="1"/>
        <v>0.83333333333333337</v>
      </c>
      <c r="K36" s="8">
        <f t="shared" ca="1" si="1"/>
        <v>0.53333333333333333</v>
      </c>
      <c r="L36" s="8">
        <f t="shared" ca="1" si="1"/>
        <v>0.53333333333333333</v>
      </c>
      <c r="M36" s="8">
        <f t="shared" ca="1" si="1"/>
        <v>0.53333333333333333</v>
      </c>
      <c r="N36" s="8">
        <f t="shared" ca="1" si="1"/>
        <v>0.53333333333333333</v>
      </c>
      <c r="O36" s="8">
        <f t="shared" ca="1" si="1"/>
        <v>0.4</v>
      </c>
      <c r="P36" s="8">
        <f t="shared" ca="1" si="1"/>
        <v>0.4</v>
      </c>
      <c r="Q36" s="8">
        <f t="shared" ca="1" si="1"/>
        <v>0.4</v>
      </c>
      <c r="R36" s="8">
        <f t="shared" ca="1" si="1"/>
        <v>0.4</v>
      </c>
      <c r="S36" s="8">
        <f t="shared" ca="1" si="1"/>
        <v>0.3</v>
      </c>
      <c r="T36" s="8">
        <f t="shared" ca="1" si="1"/>
        <v>0.3</v>
      </c>
      <c r="U36" s="8">
        <f t="shared" ca="1" si="1"/>
        <v>0.3</v>
      </c>
      <c r="V36" s="8">
        <f t="shared" ca="1" si="1"/>
        <v>0.3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Tecnología</vt:lpstr>
      <vt:lpstr>Shock Tecnológico</vt:lpstr>
      <vt:lpstr>Infectadas</vt:lpstr>
      <vt:lpstr>Imitación</vt:lpstr>
      <vt:lpstr>Viva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Luján Garcia</dc:creator>
  <cp:lastModifiedBy>Luján Garcia</cp:lastModifiedBy>
  <dcterms:created xsi:type="dcterms:W3CDTF">2025-03-07T02:18:01Z</dcterms:created>
  <dcterms:modified xsi:type="dcterms:W3CDTF">2025-03-07T17:53:05Z</dcterms:modified>
</cp:coreProperties>
</file>